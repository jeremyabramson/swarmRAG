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6.xml.rels" ContentType="application/vnd.openxmlformats-package.relationships+xml"/>
  <Override PartName="/xl/worksheets/_rels/sheet5.xml.rels" ContentType="application/vnd.openxmlformats-package.relationship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tables/table2.xml" ContentType="application/vnd.openxmlformats-officedocument.spreadsheetml.table+xml"/>
  <Override PartName="/xl/tables/table5.xml" ContentType="application/vnd.openxmlformats-officedocument.spreadsheetml.table+xml"/>
  <Override PartName="/xl/tables/table1.xml" ContentType="application/vnd.openxmlformats-officedocument.spreadsheetml.table+xml"/>
  <Override PartName="/xl/tables/table4.xml" ContentType="application/vnd.openxmlformats-officedocument.spreadsheetml.table+xml"/>
  <Override PartName="/xl/tables/table3.xml" ContentType="application/vnd.openxmlformats-officedocument.spreadsheetml.table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Report changes" sheetId="2" state="visible" r:id="rId4"/>
    <sheet name="Technologies" sheetId="3" state="visible" r:id="rId5"/>
    <sheet name="Documents" sheetId="4" state="visible" r:id="rId6"/>
    <sheet name="Techniques" sheetId="5" state="visible" r:id="rId7"/>
    <sheet name="Scrape method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<sst xmlns="http://schemas.openxmlformats.org/spreadsheetml/2006/main" count="5968" uniqueCount="2310">
  <si>
    <t xml:space="preserve">Open-source swarm software landscape: technology and document inventory</t>
  </si>
  <si>
    <t xml:space="preserve">Complete edition, 15 September 2026. Sources: the project's report (markdown and PDF versions, identical content) and slide deck.</t>
  </si>
  <si>
    <t xml:space="preserve">Tabs</t>
  </si>
  <si>
    <t xml:space="preserve">Report changes: every correction, clarification, update, and relevant addition found while collecting documents, with the report section it belongs in, the evidence, and a suggested edit.</t>
  </si>
  <si>
    <t xml:space="preserve">Technologies: one row per technology, with the dimensions from the report and a live count of documents found.</t>
  </si>
  <si>
    <t xml:space="preserve">Documents: one row per document. Filled so far for the pilot (10 technologies plus 2 found alongside), batch 1 (the report's recommended stack and core swarm frameworks), batch 2 (simulators, network co-simulation bridges, and learning environments), batch 3 (commercial products, middleware, and tools), batch 4 (Section 10 research papers and hardware), and the added technologies. All technologies are now covered; four have no reliable URL yet. Remaining technologies show Pending in the Technologies tab.</t>
  </si>
  <si>
    <t xml:space="preserve">Top 3: every technology with documents has its three best starting documents ranked 1–3 in the Documents 'Top 3 rank' column. Filter that column to non-blank for a first-pass scrape list. Ranking favors definitive architecture papers and official documentation over marketing and release notes.</t>
  </si>
  <si>
    <t xml:space="preserve">Techniques: techniques and methods, one authoritative reference each. Many are canonical papers or standards added from general knowledge; the Verified column says which.</t>
  </si>
  <si>
    <t xml:space="preserve">Rows shaded green in Technologies are technologies not in the report that turned up during collection (for example ROS-NetSim, FlyNetSim, SynchroSim, CARLA-Air). Each has a matching entry in Report changes.</t>
  </si>
  <si>
    <t xml:space="preserve">Scrape methods: what each value in the Documents 'Scrape method' column means, for building the scraper.</t>
  </si>
  <si>
    <t xml:space="preserve">Column definitions</t>
  </si>
  <si>
    <t xml:space="preserve">Layers: L0 motors and firmware; L1 single-vehicle autonomy; L2 middleware and communication; L3 multi-vehicle coordination; L4 mission, operator, and fleet management; L5 simulation and test; L6 learning and adaptation.</t>
  </si>
  <si>
    <t xml:space="preserve">Popularity: approximate GitHub stars from the report. ★ under 200; ★★ 200–1,000; ★★★ 1,000–5,000; ★★★★ over 5,000. Blank means the report gave no figure.</t>
  </si>
  <si>
    <t xml:space="preserve">Priority (Documents): 1 = core definitive source; 2 = key technical document; 3 = supplementary.</t>
  </si>
  <si>
    <t xml:space="preserve">Verified (Documents): 'Seen in search results' means the exact URL appeared in a live search on 15 September 2026. 'Derived' means it was built from a verified link. 'Listed in the project report' means it came from the report's own source list and was not re-seen. Check the last two before scraping.</t>
  </si>
  <si>
    <t xml:space="preserve">'From general knowledge' (Verified column) marks canonical URLs I added without seeing them in this session's searches, used only for well-known projects that were not searched. Check these before scraping.</t>
  </si>
  <si>
    <t xml:space="preserve">Access: Public, Subscription (IEEE or ACM paywall), Gated (requires vendor relationship), or Internal (Peraton Labs).</t>
  </si>
  <si>
    <t xml:space="preserve">License and status values come from the report; 'Not stated in report' will be filled from each project's documents during the batches.</t>
  </si>
  <si>
    <t xml:space="preserve">Corrections found during collection (full list with evidence in Report changes)</t>
  </si>
  <si>
    <t xml:space="preserve">The report attributes the CCAST (Command and Control of Aggregate Swarm Tactics) swarm system to Northrop Grumman. The CCAST congestion-analysis paper credits a Raytheon BBN and SIFT team; Northrop Grumman was the other OFFSET (OFFensive Swarm-Enabled Tactics) integrator. The Technologies row is labelled accordingly.</t>
  </si>
  <si>
    <t xml:space="preserve">OpenAMASE is released under the Air Force Open Source Agreement 1.0, not the NASA agreement the report states, and its terms require registering use by email.</t>
  </si>
  <si>
    <t xml:space="preserve">OpenUxAS shows commits as recent as April 2026; the report describes it as having sporadic commits and dated build instructions.</t>
  </si>
  <si>
    <t xml:space="preserve">Cosys-AirSim's README says it is provided as is and will not be actively updated; the report lists it as a living fork.</t>
  </si>
  <si>
    <t xml:space="preserve">NVIDIA Cosmos 3 launched on 1 June 2026 and the Cosmos repositories moved to github.com/NVIDIA/Cosmos; the report describes the earlier Cosmos and Cosmos Transfer releases.</t>
  </si>
  <si>
    <t xml:space="preserve">Webots is Apache-2.0 licensed; the report left its license blank.</t>
  </si>
  <si>
    <t xml:space="preserve">Auterion publishes public developer documentation (docs.auterion.com, with an llms.txt index); its onboard SDK is built on ROS 2. The report implies Auterion has little public developer surface.</t>
  </si>
  <si>
    <t xml:space="preserve">PX4 now ships a native Zenoh bridge (zenoh-pico client with a zenohd router) alongside uXRCE-DDS, directly supporting the report's Zenoh recommendation.</t>
  </si>
  <si>
    <t xml:space="preserve">Crazyflie firmware READMEs state LGPL-3.0; the report lists GPL-3.</t>
  </si>
  <si>
    <t xml:space="preserve">Swarmer filed for a Nasdaq IPO in February 2026; its registration statement on SEC EDGAR is likely the most detailed public source on its stack.</t>
  </si>
  <si>
    <t xml:space="preserve">Scraping cautions</t>
  </si>
  <si>
    <t xml:space="preserve">Respect each site's robots.txt file and terms of use. Vendor documentation (Anduril, Shield AI) may restrict automated collection even when pages are public.</t>
  </si>
  <si>
    <t xml:space="preserve">ResearchGate, IEEE Xplore, and ACM Digital Library block or restrict automated downloads; prefer arXiv or open-access copies.</t>
  </si>
  <si>
    <t xml:space="preserve">Change ID</t>
  </si>
  <si>
    <t xml:space="preserve">Type</t>
  </si>
  <si>
    <t xml:space="preserve">Report section</t>
  </si>
  <si>
    <t xml:space="preserve">Technology</t>
  </si>
  <si>
    <t xml:space="preserve">What changed or what to add</t>
  </si>
  <si>
    <t xml:space="preserve">Evidence</t>
  </si>
  <si>
    <t xml:space="preserve">Suggested action</t>
  </si>
  <si>
    <t xml:space="preserve">C001</t>
  </si>
  <si>
    <t xml:space="preserve">Correction</t>
  </si>
  <si>
    <t xml:space="preserve">§2.5, §3.1 (OFFSET row)</t>
  </si>
  <si>
    <t xml:space="preserve">DARPA OFFSET systems</t>
  </si>
  <si>
    <t xml:space="preserve">Report attributes CCAST to Northrop Grumman; the CCAST paper credits Raytheon BBN and SIFT. Northrop Grumman was the other integrator.</t>
  </si>
  <si>
    <t xml:space="preserve">arXiv 2307.16788 acknowledgments</t>
  </si>
  <si>
    <t xml:space="preserve">Change to 'Raytheon BBN (CCAST) and Northrop Grumman'.</t>
  </si>
  <si>
    <t xml:space="preserve">C002</t>
  </si>
  <si>
    <t xml:space="preserve">§2.5, §3 table</t>
  </si>
  <si>
    <t xml:space="preserve">OpenAMASE</t>
  </si>
  <si>
    <t xml:space="preserve">License is the Air Force Open Source Agreement 1.0 (with required email registration of use), not the NASA agreement.</t>
  </si>
  <si>
    <t xml:space="preserve">github.com/afrl-rq/OpenAMASE README</t>
  </si>
  <si>
    <t xml:space="preserve">Fix license; note registration requirement for closed deliverables (§7 criterion 3).</t>
  </si>
  <si>
    <t xml:space="preserve">C003</t>
  </si>
  <si>
    <t xml:space="preserve">OpenUxAS</t>
  </si>
  <si>
    <t xml:space="preserve">Commits as recent as April 2026 and SPARK formal proofs in the test suite; report describes sporadic commits.</t>
  </si>
  <si>
    <t xml:space="preserve">github.com/afrl-rq organization listing and OpenUxAS README</t>
  </si>
  <si>
    <t xml:space="preserve">Update activity; cite SPARK proofs in §6 and §10.3 Blocker 8 (assurance).</t>
  </si>
  <si>
    <t xml:space="preserve">C004</t>
  </si>
  <si>
    <t xml:space="preserve">§2.6 table, §3.2</t>
  </si>
  <si>
    <t xml:space="preserve">Cosys-AirSim</t>
  </si>
  <si>
    <t xml:space="preserve">README says the repository is provided as is and will not be actively updated; report calls it a living fork.</t>
  </si>
  <si>
    <t xml:space="preserve">Cosys-AirSim README</t>
  </si>
  <si>
    <t xml:space="preserve">Mark as low activity; point to Project AirSim and CARLA-Air.</t>
  </si>
  <si>
    <t xml:space="preserve">C005</t>
  </si>
  <si>
    <t xml:space="preserve">§2.1, §7</t>
  </si>
  <si>
    <t xml:space="preserve">Crazyflie firmware</t>
  </si>
  <si>
    <t xml:space="preserve">README forks state LGPL-3.0; report says GPL-3.</t>
  </si>
  <si>
    <t xml:space="preserve">crazyflie-firmware README forks</t>
  </si>
  <si>
    <t xml:space="preserve">Confirm in upstream LICENSE; LGPL relaxes the closed-deliverable concern.</t>
  </si>
  <si>
    <t xml:space="preserve">C006</t>
  </si>
  <si>
    <t xml:space="preserve">§3.2 (Webots row), §2.6</t>
  </si>
  <si>
    <t xml:space="preserve">Webots</t>
  </si>
  <si>
    <t xml:space="preserve">Apache-2.0 license; report leaves license unstated.</t>
  </si>
  <si>
    <t xml:space="preserve">cyberbotics/webots README (fork copy)</t>
  </si>
  <si>
    <t xml:space="preserve">Add license.</t>
  </si>
  <si>
    <t xml:space="preserve">C007</t>
  </si>
  <si>
    <t xml:space="preserve">Clarification</t>
  </si>
  <si>
    <t xml:space="preserve">§6 (Learning)</t>
  </si>
  <si>
    <t xml:space="preserve">SwarmSync / SwarmModelPatch</t>
  </si>
  <si>
    <t xml:space="preserve">These distribute software and model updates across a heterogeneous swarm (the SwarmUpdate framework); they are not decentralized training.</t>
  </si>
  <si>
    <t xml:space="preserve">arXiv 2503.13784</t>
  </si>
  <si>
    <t xml:space="preserve">Reword to 'propagating software and model updates'; also cite under §4 gap 6 (fleet logistics, over-the-air updates).</t>
  </si>
  <si>
    <t xml:space="preserve">C008</t>
  </si>
  <si>
    <t xml:space="preserve">Update</t>
  </si>
  <si>
    <t xml:space="preserve">§2.7, §8 Option A</t>
  </si>
  <si>
    <t xml:space="preserve">NVIDIA Cosmos</t>
  </si>
  <si>
    <t xml:space="preserve">Cosmos 3 launched 1 June 2026 as a unified omnimodal model family; repositories moved to github.com/NVIDIA/Cosmos.</t>
  </si>
  <si>
    <t xml:space="preserve">cosmos-transfer2.5 and cosmos-predict README notices</t>
  </si>
  <si>
    <t xml:space="preserve">Update Cosmos description and links; Cosmos 3 also generates actions and policies.</t>
  </si>
  <si>
    <t xml:space="preserve">C009</t>
  </si>
  <si>
    <t xml:space="preserve">§2.7</t>
  </si>
  <si>
    <t xml:space="preserve">NVIDIA Isaac Sim</t>
  </si>
  <si>
    <t xml:space="preserve">Isaac Sim 6.0 is an Early Developer Release (docs banner: incomplete; binaries at general availability); 6.0.1 release notes dated June 2026. Isaac Lab 3.0 beta targets 6.0.</t>
  </si>
  <si>
    <t xml:space="preserve">Isaac Sim docs banner; Isaac Lab releases</t>
  </si>
  <si>
    <t xml:space="preserve">Qualify 6.0 as early developer release.</t>
  </si>
  <si>
    <t xml:space="preserve">C010</t>
  </si>
  <si>
    <t xml:space="preserve">§2.6, §2.7</t>
  </si>
  <si>
    <t xml:space="preserve">OmniDrones; Pegasus Simulator</t>
  </si>
  <si>
    <t xml:space="preserve">Official OmniDrones targets Isaac Sim 4.1; Pegasus v5.1.0 targets Isaac Sim 5.1. Neither confirmed on 6.0.</t>
  </si>
  <si>
    <t xml:space="preserve">OmniDrones README; Pegasus README</t>
  </si>
  <si>
    <t xml:space="preserve">Add version caveat to Isaac-based recommendations.</t>
  </si>
  <si>
    <t xml:space="preserve">C011</t>
  </si>
  <si>
    <t xml:space="preserve">§2.2, §8 Option A, §9.4</t>
  </si>
  <si>
    <t xml:space="preserve">PX4 Zenoh bridge</t>
  </si>
  <si>
    <t xml:space="preserve">PX4 ships a native Zenoh bridge (zenoh-pico client and zenohd router) as an alternative to uXRCE-DDS; PX4 still recommends DDS for most users.</t>
  </si>
  <si>
    <t xml:space="preserve">docs.px4.io ROS 2 User Guide</t>
  </si>
  <si>
    <t xml:space="preserve">Add as an option in Option A Layer 2 and the §9.4 middleware bullet.</t>
  </si>
  <si>
    <t xml:space="preserve">C012</t>
  </si>
  <si>
    <t xml:space="preserve">§4 (Auterion row), §9.1</t>
  </si>
  <si>
    <t xml:space="preserve">Auterion AuterionOS</t>
  </si>
  <si>
    <t xml:space="preserve">Public developer documentation exists (docs.auterion.com, with llms.txt index); the onboard Auterion SDK is built on ROS 2.</t>
  </si>
  <si>
    <t xml:space="preserve">docs.auterion.com</t>
  </si>
  <si>
    <t xml:space="preserve">Revise 'no public web interface' wording; note ROS 2 basis of the SDK.</t>
  </si>
  <si>
    <t xml:space="preserve">C013</t>
  </si>
  <si>
    <t xml:space="preserve">§4 (Auterion row)</t>
  </si>
  <si>
    <t xml:space="preserve">Auterion Nemyx</t>
  </si>
  <si>
    <t xml:space="preserve">Later demonstrations: December 2025 hybrid FPV and fixed-wing multi-manufacturer swarm with ATAK Cursor-on-Target integration; U.S. live-fire single operator, three targets.</t>
  </si>
  <si>
    <t xml:space="preserve">auterion.com press releases</t>
  </si>
  <si>
    <t xml:space="preserve">Add to Nemyx capabilities.</t>
  </si>
  <si>
    <t xml:space="preserve">C014</t>
  </si>
  <si>
    <t xml:space="preserve">§4 (Skydio row)</t>
  </si>
  <si>
    <t xml:space="preserve">Skydio Autonomy</t>
  </si>
  <si>
    <t xml:space="preserve">Skydio Cloud now performs automatic drone-to-drone deconfliction for dock-based operations.</t>
  </si>
  <si>
    <t xml:space="preserve">Skydio Cloud release notes</t>
  </si>
  <si>
    <t xml:space="preserve">Revise 'fleet management, not swarm coordination' to note limited multi-vehicle deconfliction.</t>
  </si>
  <si>
    <t xml:space="preserve">C015</t>
  </si>
  <si>
    <t xml:space="preserve">§4 (Swarmer row)</t>
  </si>
  <si>
    <t xml:space="preserve">Swarmer</t>
  </si>
  <si>
    <t xml:space="preserve">Product stack named: STYX (command and control), MINAS (collaborative autonomy), TRIDENT (embedded OS); 25-drone swarms demonstrated without satellite positioning; Nasdaq IPO filed February 2026.</t>
  </si>
  <si>
    <t xml:space="preserve">TradingView and Kyiv Post articles</t>
  </si>
  <si>
    <t xml:space="preserve">Add product names; pull the SEC registration statement.</t>
  </si>
  <si>
    <t xml:space="preserve">C016</t>
  </si>
  <si>
    <t xml:space="preserve">§4 (Lattice row), §10.3</t>
  </si>
  <si>
    <t xml:space="preserve">Anduril Lattice</t>
  </si>
  <si>
    <t xml:space="preserve">Chief Digital and AI Office contracted Lattice Mesh as an edge data mesh open to third-party developers; Menace hosts Lattice at the edge in degraded communications.</t>
  </si>
  <si>
    <t xml:space="preserve">Third-party articles (FAF, Medium)</t>
  </si>
  <si>
    <t xml:space="preserve">Optional context for §4 and the communications-management gap.</t>
  </si>
  <si>
    <t xml:space="preserve">C017</t>
  </si>
  <si>
    <t xml:space="preserve">§4 (Hivemind row), §10.3 Blocker 8</t>
  </si>
  <si>
    <t xml:space="preserve">Shield AI Hivemind</t>
  </si>
  <si>
    <t xml:space="preserve">Multi-monitor runtime assurance (MM-RTA) planned for the Hivemind SDK by mid-2026; EdgeOS includes a schema language (EOSLang) and record/replay tooling.</t>
  </si>
  <si>
    <t xml:space="preserve">shield.ai blog posts</t>
  </si>
  <si>
    <t xml:space="preserve">Add runtime-assurance example to Blocker 8 'outside' research; add EOSLang to EdgeOS description.</t>
  </si>
  <si>
    <t xml:space="preserve">C018</t>
  </si>
  <si>
    <t xml:space="preserve">§2.6 (VRX)</t>
  </si>
  <si>
    <t xml:space="preserve">VRX</t>
  </si>
  <si>
    <t xml:space="preserve">Now runs on Gazebo Harmonic and ROS 2 Jazzy by default.</t>
  </si>
  <si>
    <t xml:space="preserve">osrf/vrx README and wiki</t>
  </si>
  <si>
    <t xml:space="preserve">Update marine simulation notes.</t>
  </si>
  <si>
    <t xml:space="preserve">C019</t>
  </si>
  <si>
    <t xml:space="preserve">§2.7 (Newton)</t>
  </si>
  <si>
    <t xml:space="preserve">Newton physics engine</t>
  </si>
  <si>
    <t xml:space="preserve">Linux Foundation project, Apache-2.0; integrates MuJoCo Warp as a solver.</t>
  </si>
  <si>
    <t xml:space="preserve">newton-physics README; NVIDIA Newton page</t>
  </si>
  <si>
    <t xml:space="preserve">Add governance and license.</t>
  </si>
  <si>
    <t xml:space="preserve">C020</t>
  </si>
  <si>
    <t xml:space="preserve">§2.6, §2.3</t>
  </si>
  <si>
    <t xml:space="preserve">gym-pybullet-drones</t>
  </si>
  <si>
    <t xml:space="preserve">Repository now appears under the learnsyslab organization.</t>
  </si>
  <si>
    <t xml:space="preserve">Search result URL</t>
  </si>
  <si>
    <t xml:space="preserve">Update repository link.</t>
  </si>
  <si>
    <t xml:space="preserve">C021</t>
  </si>
  <si>
    <t xml:space="preserve">Addition</t>
  </si>
  <si>
    <t xml:space="preserve">§9.1 Touch point 2, §2.6 key point</t>
  </si>
  <si>
    <t xml:space="preserve">ROS-NetSim</t>
  </si>
  <si>
    <t xml:space="preserve">Sliding-window robot/network co-simulation framework (RA-L 2021).</t>
  </si>
  <si>
    <t xml:space="preserve">ResearchGate record; NSF-hosted survey</t>
  </si>
  <si>
    <t xml:space="preserve">Add to the list of physics–network bridges.</t>
  </si>
  <si>
    <t xml:space="preserve">C022</t>
  </si>
  <si>
    <t xml:space="preserve">§9.1 Touch point 2</t>
  </si>
  <si>
    <t xml:space="preserve">FlyNetSim</t>
  </si>
  <si>
    <t xml:space="preserve">ns-3 plus ArduPilot synchronized UAV network simulator (ACM MSWiM 2018); inspired CORNET's ZeroMQ design.</t>
  </si>
  <si>
    <t xml:space="preserve">CORNET paper; NSF-hosted survey</t>
  </si>
  <si>
    <t xml:space="preserve">Add to bridge list; locate repository.</t>
  </si>
  <si>
    <t xml:space="preserve">C023</t>
  </si>
  <si>
    <t xml:space="preserve">SynchroSim</t>
  </si>
  <si>
    <t xml:space="preserve">Velocity-aware sliding-window co-simulation for heterogeneous multi-robot systems with Gazebo and ns-3.</t>
  </si>
  <si>
    <t xml:space="preserve">arXiv 2208.06569</t>
  </si>
  <si>
    <t xml:space="preserve">Add to bridge list.</t>
  </si>
  <si>
    <t xml:space="preserve">C024</t>
  </si>
  <si>
    <t xml:space="preserve">§9.1</t>
  </si>
  <si>
    <t xml:space="preserve">Mininet-WiFi</t>
  </si>
  <si>
    <t xml:space="preserve">CORNET 2.0 moved from ns-3 to Mininet-WiFi and Containernet: real network stacks in containers, conceptually close to CyberVAN.</t>
  </si>
  <si>
    <t xml:space="preserve">arXiv 2109.06979</t>
  </si>
  <si>
    <t xml:space="preserve">Mention as a lightweight emulation alternative alongside EMANE/CORE.</t>
  </si>
  <si>
    <t xml:space="preserve">C025</t>
  </si>
  <si>
    <t xml:space="preserve">§2.2</t>
  </si>
  <si>
    <t xml:space="preserve">Micro XRCE-DDS (eProsima)</t>
  </si>
  <si>
    <t xml:space="preserve">Underlying middleware for both micro-ROS and the PX4 uXRCE-DDS bridge.</t>
  </si>
  <si>
    <t xml:space="preserve">Vulcanexus micro-ROS docs; PX4 docs</t>
  </si>
  <si>
    <t xml:space="preserve">Name explicitly in Layer 2 description.</t>
  </si>
  <si>
    <t xml:space="preserve">C026</t>
  </si>
  <si>
    <t xml:space="preserve">CARLA-Air</t>
  </si>
  <si>
    <t xml:space="preserve">Unifies CARLA (ground) and AirSim (air) in one Unreal runtime with a shared physics tick; continues AirSim's flight stack; source and binaries released 2026.</t>
  </si>
  <si>
    <t xml:space="preserve">arXiv 2603.28032; GitHub louiszengCN/CarlaAir</t>
  </si>
  <si>
    <t xml:space="preserve">Add as an air-ground simulator row; relevant to heterogeneous teams.</t>
  </si>
  <si>
    <t xml:space="preserve">C027</t>
  </si>
  <si>
    <t xml:space="preserve">§2.4 (Robotarium), §2.6</t>
  </si>
  <si>
    <t xml:space="preserve">JaxRobotarium</t>
  </si>
  <si>
    <t xml:space="preserve">GPU-accelerated successor to MARBLER with hardware deployment path.</t>
  </si>
  <si>
    <t xml:space="preserve">arXiv 2505.06771</t>
  </si>
  <si>
    <t xml:space="preserve">Add alongside MARBLER.</t>
  </si>
  <si>
    <t xml:space="preserve">C028</t>
  </si>
  <si>
    <t xml:space="preserve">§2.3</t>
  </si>
  <si>
    <t xml:space="preserve">Tapestry OS</t>
  </si>
  <si>
    <t xml:space="preserve">New Zephyr-based decentralized coordination stack ported to Crazyflie 2.1 Brushless (September 2026).</t>
  </si>
  <si>
    <t xml:space="preserve">Bitcraze blog</t>
  </si>
  <si>
    <t xml:space="preserve">Watch item for aerial coordination frameworks.</t>
  </si>
  <si>
    <t xml:space="preserve">C029</t>
  </si>
  <si>
    <t xml:space="preserve">AirStack (CMU AirLab); Unified Autonomy Stack</t>
  </si>
  <si>
    <t xml:space="preserve">AirStack is a modular aerial autonomy stack with research-to-deployment pipeline; a 2026 paper compares it with Aerostack2. A Pegasus fork targets multi-agent AirStack integration.</t>
  </si>
  <si>
    <t xml:space="preserve">arXiv 2605.12735; castacks Pegasus fork</t>
  </si>
  <si>
    <t xml:space="preserve">Evaluate as an Aerostack2 alternative.</t>
  </si>
  <si>
    <t xml:space="preserve">C030</t>
  </si>
  <si>
    <t xml:space="preserve">§2.4 (Buzz)</t>
  </si>
  <si>
    <t xml:space="preserve">ROSBuzz</t>
  </si>
  <si>
    <t xml:space="preserve">ROS node wrapping the Buzz virtual machine; tested on DJI, 3DR Solo, Clearpath Husky.</t>
  </si>
  <si>
    <t xml:space="preserve">MISTLab/ROSBuzz README</t>
  </si>
  <si>
    <t xml:space="preserve">Mention as the existing (ROS 1) Buzz–ROS bridge when proposing a ROS 2 stigmergy library.</t>
  </si>
  <si>
    <t xml:space="preserve">C031</t>
  </si>
  <si>
    <t xml:space="preserve">§2.4 (ChoiRbot)</t>
  </si>
  <si>
    <t xml:space="preserve">DISROPT</t>
  </si>
  <si>
    <t xml:space="preserve">Python distributed-optimization library underlying ChoiRbot and CrazyChoir.</t>
  </si>
  <si>
    <t xml:space="preserve">OPT4SMART GitHub organization; arXiv 2309.04257</t>
  </si>
  <si>
    <t xml:space="preserve">Mention in ChoiRbot description.</t>
  </si>
  <si>
    <t xml:space="preserve">C032</t>
  </si>
  <si>
    <t xml:space="preserve">§2.8</t>
  </si>
  <si>
    <t xml:space="preserve">Foxglove SDK</t>
  </si>
  <si>
    <t xml:space="preserve">Open-source SDK for streaming live data from non-ROS platforms; the ROS 2 bridge is built on it.</t>
  </si>
  <si>
    <t xml:space="preserve">docs.foxglove.dev fleet overview</t>
  </si>
  <si>
    <t xml:space="preserve">Add to observability section.</t>
  </si>
  <si>
    <t xml:space="preserve">C033</t>
  </si>
  <si>
    <t xml:space="preserve">§10.3 Blocker 9</t>
  </si>
  <si>
    <t xml:space="preserve">Sentien Robotics HiveXL</t>
  </si>
  <si>
    <t xml:space="preserve">Automated launch, recovery, and charging of up to 80 drones, demonstrated at OFFSET FX-6.</t>
  </si>
  <si>
    <t xml:space="preserve">darpa.mil OFFSET news</t>
  </si>
  <si>
    <t xml:space="preserve">Cite as inside-swarm-literature evidence for logistics.</t>
  </si>
  <si>
    <t xml:space="preserve">C034</t>
  </si>
  <si>
    <t xml:space="preserve">MuJoCo Warp / MuJoCo Playground</t>
  </si>
  <si>
    <t xml:space="preserve">GPU MuJoCo solver in Newton; Playground is DeepMind's MuJoCo RL suite.</t>
  </si>
  <si>
    <t xml:space="preserve">NVIDIA Newton page; TorchRL issue</t>
  </si>
  <si>
    <t xml:space="preserve">Mention under Newton and learning environments.</t>
  </si>
  <si>
    <t xml:space="preserve">C035</t>
  </si>
  <si>
    <t xml:space="preserve">§9.1 (hooks), §4 gap 1</t>
  </si>
  <si>
    <t xml:space="preserve">Auterion SDK</t>
  </si>
  <si>
    <t xml:space="preserve">ROS 2-based onboard SDK with flight-mode, navigation-input, visual-tracking, and object-detection APIs; a commercial precedent for app-based hive hooks.</t>
  </si>
  <si>
    <t xml:space="preserve">docs.auterion.com/app-development/auterion-sdk</t>
  </si>
  <si>
    <t xml:space="preserve">Reference in hooks discussion.</t>
  </si>
  <si>
    <t xml:space="preserve">C036</t>
  </si>
  <si>
    <t xml:space="preserve">rmw_zenoh design document; ROS 2 Improved Dynamic Discovery</t>
  </si>
  <si>
    <t xml:space="preserve">ROS 2 discovery range and static peers settings (not supported by rmw_zenoh) and Fast DDS Discovery Server are documented alternatives.</t>
  </si>
  <si>
    <t xml:space="preserve">docs.ros.org Jazzy</t>
  </si>
  <si>
    <t xml:space="preserve">Cite concrete configuration references in §2.2.</t>
  </si>
  <si>
    <t xml:space="preserve">C037</t>
  </si>
  <si>
    <t xml:space="preserve">§10.3 Blocker 7</t>
  </si>
  <si>
    <t xml:space="preserve">W-MSR (Weighted-Mean Subsequence Reduced)</t>
  </si>
  <si>
    <t xml:space="preserve">State-of-the-art Byzantine-resilient consensus for decentralized multi-robot systems, noted in 2026 literature.</t>
  </si>
  <si>
    <t xml:space="preserve">Hugging Face papers listing</t>
  </si>
  <si>
    <t xml:space="preserve">Name explicitly with resilient consensus.</t>
  </si>
  <si>
    <t xml:space="preserve">C038</t>
  </si>
  <si>
    <t xml:space="preserve">§2.3 (Aerostack2)</t>
  </si>
  <si>
    <t xml:space="preserve">Aerostack2 + Pegasus + Isaac Sim</t>
  </si>
  <si>
    <t xml:space="preserve">Aerostack2 publishes a worked Pegasus/Isaac Sim integration project.</t>
  </si>
  <si>
    <t xml:space="preserve">github.com/aerostack2/project_pegasus_isaac_sim</t>
  </si>
  <si>
    <t xml:space="preserve">Note path for perception-grade aerial swarm simulation.</t>
  </si>
  <si>
    <t xml:space="preserve">Category</t>
  </si>
  <si>
    <t xml:space="preserve">Layers</t>
  </si>
  <si>
    <t xml:space="preserve">License</t>
  </si>
  <si>
    <t xml:space="preserve">Domains</t>
  </si>
  <si>
    <t xml:space="preserve">Open source or commercial</t>
  </si>
  <si>
    <t xml:space="preserve">Maintenance status</t>
  </si>
  <si>
    <t xml:space="preserve">Popularity</t>
  </si>
  <si>
    <t xml:space="preserve">In report</t>
  </si>
  <si>
    <t xml:space="preserve">In slide deck</t>
  </si>
  <si>
    <t xml:space="preserve">Batch</t>
  </si>
  <si>
    <t xml:space="preserve">Documents found</t>
  </si>
  <si>
    <t xml:space="preserve">Top 3 found</t>
  </si>
  <si>
    <t xml:space="preserve">Notes</t>
  </si>
  <si>
    <t xml:space="preserve">PX4 Autopilot</t>
  </si>
  <si>
    <t xml:space="preserve">Autopilots and vehicle firmware</t>
  </si>
  <si>
    <t xml:space="preserve">L0–L1</t>
  </si>
  <si>
    <t xml:space="preserve">BSD-3-Clause</t>
  </si>
  <si>
    <t xml:space="preserve">Air (thinner ground/water)</t>
  </si>
  <si>
    <t xml:space="preserve">Open source</t>
  </si>
  <si>
    <t xml:space="preserve">Active</t>
  </si>
  <si>
    <t xml:space="preserve">★★★★</t>
  </si>
  <si>
    <t xml:space="preserve">Yes</t>
  </si>
  <si>
    <t xml:space="preserve">Pilot</t>
  </si>
  <si>
    <t xml:space="preserve">ArduPilot</t>
  </si>
  <si>
    <t xml:space="preserve">GPL-3.0</t>
  </si>
  <si>
    <t xml:space="preserve">Air, ground, surface, underwater</t>
  </si>
  <si>
    <t xml:space="preserve">Batch 1</t>
  </si>
  <si>
    <t xml:space="preserve">Skybrush ArduPilot fork</t>
  </si>
  <si>
    <t xml:space="preserve">L0</t>
  </si>
  <si>
    <t xml:space="preserve">Air</t>
  </si>
  <si>
    <t xml:space="preserve">LGPL-3.0 per README forks (report said GPL-3; confirm)</t>
  </si>
  <si>
    <t xml:space="preserve">Air (palm-sized)</t>
  </si>
  <si>
    <t xml:space="preserve">Batch 3</t>
  </si>
  <si>
    <t xml:space="preserve">Betaflight</t>
  </si>
  <si>
    <t xml:space="preserve">Not stated in report</t>
  </si>
  <si>
    <t xml:space="preserve">Not assessed</t>
  </si>
  <si>
    <t xml:space="preserve">No</t>
  </si>
  <si>
    <t xml:space="preserve">iNav</t>
  </si>
  <si>
    <t xml:space="preserve">PX4 DDS bridge (uXRCE-DDS)</t>
  </si>
  <si>
    <t xml:space="preserve">L2</t>
  </si>
  <si>
    <t xml:space="preserve">Air, ground, water</t>
  </si>
  <si>
    <t xml:space="preserve">MRS UAV System</t>
  </si>
  <si>
    <t xml:space="preserve">Single-vehicle autonomy and navigation</t>
  </si>
  <si>
    <t xml:space="preserve">L1–L3</t>
  </si>
  <si>
    <t xml:space="preserve">Air (multirotor)</t>
  </si>
  <si>
    <t xml:space="preserve">Active (ROS 2 port in progress)</t>
  </si>
  <si>
    <t xml:space="preserve">★★</t>
  </si>
  <si>
    <t xml:space="preserve">Nav2</t>
  </si>
  <si>
    <t xml:space="preserve">L1</t>
  </si>
  <si>
    <t xml:space="preserve">Apache-2.0</t>
  </si>
  <si>
    <t xml:space="preserve">Ground</t>
  </si>
  <si>
    <t xml:space="preserve">MOOS-IvP</t>
  </si>
  <si>
    <t xml:space="preserve">L1–L5</t>
  </si>
  <si>
    <t xml:space="preserve">GPL / LGPL</t>
  </si>
  <si>
    <t xml:space="preserve">Water (surface and underwater)</t>
  </si>
  <si>
    <t xml:space="preserve">★ (large real user base)</t>
  </si>
  <si>
    <t xml:space="preserve">Autoware</t>
  </si>
  <si>
    <t xml:space="preserve">Ground (road vehicles)</t>
  </si>
  <si>
    <t xml:space="preserve">NVIDIA Isaac ROS</t>
  </si>
  <si>
    <t xml:space="preserve">L1–L2</t>
  </si>
  <si>
    <t xml:space="preserve">Apache-2.0 plus NVIDIA terms on some models</t>
  </si>
  <si>
    <t xml:space="preserve">Air, ground</t>
  </si>
  <si>
    <t xml:space="preserve">Open source (mixed terms)</t>
  </si>
  <si>
    <t xml:space="preserve">cuVSLAM</t>
  </si>
  <si>
    <t xml:space="preserve">NVIDIA terms</t>
  </si>
  <si>
    <t xml:space="preserve">nvblox</t>
  </si>
  <si>
    <t xml:space="preserve">NITROS</t>
  </si>
  <si>
    <t xml:space="preserve">Middleware, messaging, and networking</t>
  </si>
  <si>
    <t xml:space="preserve">ROS 2 (Robot Operating System 2)</t>
  </si>
  <si>
    <t xml:space="preserve">All</t>
  </si>
  <si>
    <t xml:space="preserve">ROS 1</t>
  </si>
  <si>
    <t xml:space="preserve">End of life</t>
  </si>
  <si>
    <t xml:space="preserve">DDS (Data Distribution Service)</t>
  </si>
  <si>
    <t xml:space="preserve">Standard (multiple implementations)</t>
  </si>
  <si>
    <t xml:space="preserve">Open standard</t>
  </si>
  <si>
    <t xml:space="preserve">Zenoh / rmw_zenoh</t>
  </si>
  <si>
    <t xml:space="preserve">SROS2 (Secure ROS 2)</t>
  </si>
  <si>
    <t xml:space="preserve">micro-ROS</t>
  </si>
  <si>
    <t xml:space="preserve">L0–L2</t>
  </si>
  <si>
    <t xml:space="preserve">All (microcontroller vehicles)</t>
  </si>
  <si>
    <t xml:space="preserve">MOOS</t>
  </si>
  <si>
    <t xml:space="preserve">Water</t>
  </si>
  <si>
    <t xml:space="preserve">MAVLink</t>
  </si>
  <si>
    <t xml:space="preserve">Permissive</t>
  </si>
  <si>
    <t xml:space="preserve">MAVSDK</t>
  </si>
  <si>
    <t xml:space="preserve">MAVROS</t>
  </si>
  <si>
    <t xml:space="preserve">LMCP (Lightweight Message Construction Protocol)</t>
  </si>
  <si>
    <t xml:space="preserve">L2–L4</t>
  </si>
  <si>
    <t xml:space="preserve">NASA Open Source Agreement</t>
  </si>
  <si>
    <t xml:space="preserve">Dormant</t>
  </si>
  <si>
    <t xml:space="preserve">BATMAN-adv</t>
  </si>
  <si>
    <t xml:space="preserve">OLSR (Optimized Link State Routing)</t>
  </si>
  <si>
    <t xml:space="preserve">Meshtastic</t>
  </si>
  <si>
    <t xml:space="preserve">ZeroMQ</t>
  </si>
  <si>
    <t xml:space="preserve">n/a</t>
  </si>
  <si>
    <t xml:space="preserve">gRPC (Google Remote Procedure Call)</t>
  </si>
  <si>
    <t xml:space="preserve">Protobuf (Protocol Buffers)</t>
  </si>
  <si>
    <t xml:space="preserve">FlatBuffers</t>
  </si>
  <si>
    <t xml:space="preserve">Time-sensitive networking</t>
  </si>
  <si>
    <t xml:space="preserve">Standard (IEEE 802.1)</t>
  </si>
  <si>
    <t xml:space="preserve">Aerostack2</t>
  </si>
  <si>
    <t xml:space="preserve">Multi-vehicle coordination frameworks</t>
  </si>
  <si>
    <t xml:space="preserve">L1–L4</t>
  </si>
  <si>
    <t xml:space="preserve">Active (built on ROS 2 Humble)</t>
  </si>
  <si>
    <t xml:space="preserve">CTU-MRS swarm packages</t>
  </si>
  <si>
    <t xml:space="preserve">L3</t>
  </si>
  <si>
    <t xml:space="preserve">Crazyswarm2</t>
  </si>
  <si>
    <t xml:space="preserve">MIT</t>
  </si>
  <si>
    <t xml:space="preserve">Air (palm-sized, indoor)</t>
  </si>
  <si>
    <t xml:space="preserve">CrazyChoir</t>
  </si>
  <si>
    <t xml:space="preserve">ChoiRbot</t>
  </si>
  <si>
    <t xml:space="preserve">Ground, air</t>
  </si>
  <si>
    <t xml:space="preserve">★</t>
  </si>
  <si>
    <t xml:space="preserve">ROS2swarm</t>
  </si>
  <si>
    <t xml:space="preserve">Check (not confirmed)</t>
  </si>
  <si>
    <t xml:space="preserve">Pinned to old ROS 2 releases</t>
  </si>
  <si>
    <t xml:space="preserve">Buzz</t>
  </si>
  <si>
    <t xml:space="preserve">Any (mostly simulated)</t>
  </si>
  <si>
    <t xml:space="preserve">Lightly maintained</t>
  </si>
  <si>
    <t xml:space="preserve">SwarmBox</t>
  </si>
  <si>
    <t xml:space="preserve">L3–L5</t>
  </si>
  <si>
    <t xml:space="preserve">New (2026), early-stage</t>
  </si>
  <si>
    <t xml:space="preserve">Open-RMF (Open Robotics Middleware Framework)</t>
  </si>
  <si>
    <t xml:space="preserve">L3–L4</t>
  </si>
  <si>
    <t xml:space="preserve">Ground (indoor fleets)</t>
  </si>
  <si>
    <t xml:space="preserve">OpenUxAS (Open Unmanned Systems Autonomy Services)</t>
  </si>
  <si>
    <t xml:space="preserve">NASA Open Source Agreement (confirm in repository LICENSE)</t>
  </si>
  <si>
    <t xml:space="preserve">Commits as recent as April 2026 (report said dormant)</t>
  </si>
  <si>
    <t xml:space="preserve">CoFlyers</t>
  </si>
  <si>
    <t xml:space="preserve">L3 (prototyping)</t>
  </si>
  <si>
    <t xml:space="preserve">No URL found</t>
  </si>
  <si>
    <t xml:space="preserve">Skybrush Server / Live / Studio</t>
  </si>
  <si>
    <t xml:space="preserve">Mission, operator, and fleet tools</t>
  </si>
  <si>
    <t xml:space="preserve">L4</t>
  </si>
  <si>
    <t xml:space="preserve">GPL-3.0 (paid tiers closed)</t>
  </si>
  <si>
    <t xml:space="preserve">Open core</t>
  </si>
  <si>
    <t xml:space="preserve">QGroundControl</t>
  </si>
  <si>
    <t xml:space="preserve">Mission Planner</t>
  </si>
  <si>
    <t xml:space="preserve">OpenAMASE (Open Aerospace Multi-Agent Simulation Environment)</t>
  </si>
  <si>
    <t xml:space="preserve">L4–L5</t>
  </si>
  <si>
    <t xml:space="preserve">Air Force Open Source Agreement 1.0 (report said NASA agreement)</t>
  </si>
  <si>
    <t xml:space="preserve">Air (mission level)</t>
  </si>
  <si>
    <t xml:space="preserve">Blender</t>
  </si>
  <si>
    <t xml:space="preserve">L4 (trajectory design)</t>
  </si>
  <si>
    <t xml:space="preserve">Gazebo (Harmonic / Ionic)</t>
  </si>
  <si>
    <t xml:space="preserve">Physics and robot simulators</t>
  </si>
  <si>
    <t xml:space="preserve">L5</t>
  </si>
  <si>
    <t xml:space="preserve">Air, ground, water (via VRX)</t>
  </si>
  <si>
    <t xml:space="preserve">★★★</t>
  </si>
  <si>
    <t xml:space="preserve">ARGoS</t>
  </si>
  <si>
    <t xml:space="preserve">Ground swarms, some air</t>
  </si>
  <si>
    <t xml:space="preserve">Low (beta releases)</t>
  </si>
  <si>
    <t xml:space="preserve">L5 (+L6)</t>
  </si>
  <si>
    <t xml:space="preserve">Apache-2.0 plus NVIDIA terms on some binaries and assets</t>
  </si>
  <si>
    <t xml:space="preserve">Very active</t>
  </si>
  <si>
    <t xml:space="preserve">Pegasus Simulator</t>
  </si>
  <si>
    <t xml:space="preserve">Active; latest release targets Isaac Sim 5.1</t>
  </si>
  <si>
    <t xml:space="preserve">Batch 2</t>
  </si>
  <si>
    <t xml:space="preserve">NVIDIA NuRec (neural reconstruction)</t>
  </si>
  <si>
    <t xml:space="preserve">Part of Isaac Sim</t>
  </si>
  <si>
    <t xml:space="preserve">Apache-2.0 (code); CC-BY-4.0 (docs)</t>
  </si>
  <si>
    <t xml:space="preserve">NVIDIA Warp</t>
  </si>
  <si>
    <t xml:space="preserve">MuJoCo</t>
  </si>
  <si>
    <t xml:space="preserve">OpenUSD (Universal Scene Description)</t>
  </si>
  <si>
    <t xml:space="preserve">Open 3D Engine</t>
  </si>
  <si>
    <t xml:space="preserve">ROS 2 simulation interfaces standard</t>
  </si>
  <si>
    <t xml:space="preserve">Microsoft AirSim</t>
  </si>
  <si>
    <t xml:space="preserve">Archived</t>
  </si>
  <si>
    <t xml:space="preserve">Project AirSim</t>
  </si>
  <si>
    <t xml:space="preserve">README says provided as is, not actively updated (report said active)</t>
  </si>
  <si>
    <t xml:space="preserve">Colosseum (Codex Labs)</t>
  </si>
  <si>
    <t xml:space="preserve">Archived July 2026</t>
  </si>
  <si>
    <t xml:space="preserve">SwarmSim (Purdue)</t>
  </si>
  <si>
    <t xml:space="preserve">Closed (cloud-hosted)</t>
  </si>
  <si>
    <t xml:space="preserve">Closed research platform</t>
  </si>
  <si>
    <t xml:space="preserve">Unverified</t>
  </si>
  <si>
    <t xml:space="preserve">No public repository; site is a login page.</t>
  </si>
  <si>
    <t xml:space="preserve">Unreal Engine 5</t>
  </si>
  <si>
    <t xml:space="preserve">Commercial license</t>
  </si>
  <si>
    <t xml:space="preserve">Commercial</t>
  </si>
  <si>
    <t xml:space="preserve">CoppeliaSim</t>
  </si>
  <si>
    <t xml:space="preserve">Ground, arms</t>
  </si>
  <si>
    <t xml:space="preserve">Mixed</t>
  </si>
  <si>
    <t xml:space="preserve">VRX (Virtual RobotX)</t>
  </si>
  <si>
    <t xml:space="preserve">Water (surface)</t>
  </si>
  <si>
    <t xml:space="preserve">Active; Gazebo Harmonic and ROS 2 Jazzy</t>
  </si>
  <si>
    <t xml:space="preserve">Stonefish</t>
  </si>
  <si>
    <t xml:space="preserve">Water (underwater)</t>
  </si>
  <si>
    <t xml:space="preserve">Partial</t>
  </si>
  <si>
    <t xml:space="preserve">HoloOcean</t>
  </si>
  <si>
    <t xml:space="preserve">MRS multirotor simulator</t>
  </si>
  <si>
    <t xml:space="preserve">swarm_sync_sim</t>
  </si>
  <si>
    <t xml:space="preserve">SwarmLab</t>
  </si>
  <si>
    <t xml:space="preserve">Open source (MATLAB)</t>
  </si>
  <si>
    <t xml:space="preserve">Robotarium</t>
  </si>
  <si>
    <t xml:space="preserve">L5 (physical testbed)</t>
  </si>
  <si>
    <t xml:space="preserve">n/a (research access)</t>
  </si>
  <si>
    <t xml:space="preserve">Research service</t>
  </si>
  <si>
    <t xml:space="preserve">Ardupilot_Multiagent_Simulation (University of Klagenfurt)</t>
  </si>
  <si>
    <t xml:space="preserve">Updated March 2026</t>
  </si>
  <si>
    <t xml:space="preserve">ns-3 (Network Simulator 3)</t>
  </si>
  <si>
    <t xml:space="preserve">Network simulation and emulation</t>
  </si>
  <si>
    <t xml:space="preserve">L5 (network)</t>
  </si>
  <si>
    <t xml:space="preserve">CyberVAN</t>
  </si>
  <si>
    <t xml:space="preserve">L5 (network emulation)</t>
  </si>
  <si>
    <t xml:space="preserve">Proprietary (Peraton Labs)</t>
  </si>
  <si>
    <t xml:space="preserve">Commercial / government testbed</t>
  </si>
  <si>
    <t xml:space="preserve">Peraton Labs product; internal documentation may be the richest source.</t>
  </si>
  <si>
    <t xml:space="preserve">EMANE (Extendable Mobile Ad-hoc Network Emulator)</t>
  </si>
  <si>
    <t xml:space="preserve">CORE (Common Open Research Emulator)</t>
  </si>
  <si>
    <t xml:space="preserve">NVIDIA Sionna</t>
  </si>
  <si>
    <t xml:space="preserve">L5 (radio)</t>
  </si>
  <si>
    <t xml:space="preserve">NVIDIA Sionna RT</t>
  </si>
  <si>
    <t xml:space="preserve">NVIDIA Aerial Omniverse Digital Twin</t>
  </si>
  <si>
    <t xml:space="preserve">Gated (6G Developer Program)</t>
  </si>
  <si>
    <t xml:space="preserve">Commercial (gated)</t>
  </si>
  <si>
    <t xml:space="preserve">ns3_gazebo (Naval Postgraduate School)</t>
  </si>
  <si>
    <t xml:space="preserve">L5 (bridge)</t>
  </si>
  <si>
    <t xml:space="preserve">Unmaintained</t>
  </si>
  <si>
    <t xml:space="preserve">CORNET</t>
  </si>
  <si>
    <t xml:space="preserve">RoboNetSim</t>
  </si>
  <si>
    <t xml:space="preserve">NVIDIA Isaac Lab</t>
  </si>
  <si>
    <t xml:space="preserve">Machine learning and AI</t>
  </si>
  <si>
    <t xml:space="preserve">L6</t>
  </si>
  <si>
    <t xml:space="preserve">Any (single vehicle)</t>
  </si>
  <si>
    <t xml:space="preserve">NVIDIA Cosmos / Cosmos Transfer</t>
  </si>
  <si>
    <t xml:space="preserve">Open weights (NVIDIA open model license)</t>
  </si>
  <si>
    <t xml:space="preserve">Open weights</t>
  </si>
  <si>
    <t xml:space="preserve">Cosmos 3 launched June 2026; repositories moved to github.com/NVIDIA/Cosmos</t>
  </si>
  <si>
    <t xml:space="preserve">NVIDIA COMPASS</t>
  </si>
  <si>
    <t xml:space="preserve">Open workflow</t>
  </si>
  <si>
    <t xml:space="preserve">OmniDrones</t>
  </si>
  <si>
    <t xml:space="preserve">MIT/BSD (group)</t>
  </si>
  <si>
    <t xml:space="preserve">Official branch on Isaac Sim 4.1; community ports to 5.1</t>
  </si>
  <si>
    <t xml:space="preserve">★★–★★★</t>
  </si>
  <si>
    <t xml:space="preserve">VMAS (Vectorized Multi-Agent Simulator)</t>
  </si>
  <si>
    <t xml:space="preserve">Abstract</t>
  </si>
  <si>
    <t xml:space="preserve">BenchMARL</t>
  </si>
  <si>
    <t xml:space="preserve">JaxMARL</t>
  </si>
  <si>
    <t xml:space="preserve">quad-swarm-rl</t>
  </si>
  <si>
    <t xml:space="preserve">MARBLER</t>
  </si>
  <si>
    <t xml:space="preserve">LeRobot dataset format</t>
  </si>
  <si>
    <t xml:space="preserve">InforMARL</t>
  </si>
  <si>
    <t xml:space="preserve">L6 (research)</t>
  </si>
  <si>
    <t xml:space="preserve">Research code</t>
  </si>
  <si>
    <t xml:space="preserve">2023</t>
  </si>
  <si>
    <t xml:space="preserve">Batch 4</t>
  </si>
  <si>
    <t xml:space="preserve">GAT-MF (graph attention mean-field)</t>
  </si>
  <si>
    <t xml:space="preserve">SCoUT</t>
  </si>
  <si>
    <t xml:space="preserve">Research</t>
  </si>
  <si>
    <t xml:space="preserve">2026</t>
  </si>
  <si>
    <t xml:space="preserve">CoMuRoS</t>
  </si>
  <si>
    <t xml:space="preserve">L3–L4 (research)</t>
  </si>
  <si>
    <t xml:space="preserve">Heterogeneous</t>
  </si>
  <si>
    <t xml:space="preserve">SMART-LLM</t>
  </si>
  <si>
    <t xml:space="preserve">KnowNo</t>
  </si>
  <si>
    <t xml:space="preserve">L4 (research)</t>
  </si>
  <si>
    <t xml:space="preserve">CarlaAir benchmark</t>
  </si>
  <si>
    <t xml:space="preserve">L6 (benchmark)</t>
  </si>
  <si>
    <t xml:space="preserve">Simulated (ARGoS)</t>
  </si>
  <si>
    <t xml:space="preserve">6G-GOALS</t>
  </si>
  <si>
    <t xml:space="preserve">Communication (research)</t>
  </si>
  <si>
    <t xml:space="preserve">Foxglove (Bridge, Agent)</t>
  </si>
  <si>
    <t xml:space="preserve">Recording and visualization</t>
  </si>
  <si>
    <t xml:space="preserve">L4–L5 (observability)</t>
  </si>
  <si>
    <t xml:space="preserve">Proprietary (free tier)</t>
  </si>
  <si>
    <t xml:space="preserve">MCAP</t>
  </si>
  <si>
    <t xml:space="preserve">L2, L5 (observability)</t>
  </si>
  <si>
    <t xml:space="preserve">ROS 2 bag recording</t>
  </si>
  <si>
    <t xml:space="preserve">NVIDIA Jetson Orin</t>
  </si>
  <si>
    <t xml:space="preserve">Hardware and vehicles</t>
  </si>
  <si>
    <t xml:space="preserve">Hardware</t>
  </si>
  <si>
    <t xml:space="preserve">Commercial hardware</t>
  </si>
  <si>
    <t xml:space="preserve">NVIDIA Jetson Thor</t>
  </si>
  <si>
    <t xml:space="preserve">NVIDIA RTX graphics cards</t>
  </si>
  <si>
    <t xml:space="preserve">Raspberry Pi</t>
  </si>
  <si>
    <t xml:space="preserve">ESP32 / STM32 microcontrollers</t>
  </si>
  <si>
    <t xml:space="preserve">Auterion Skynode / Skynode S</t>
  </si>
  <si>
    <t xml:space="preserve">Crazyflie drone (Bitcraze)</t>
  </si>
  <si>
    <t xml:space="preserve">Commercial (open hardware)</t>
  </si>
  <si>
    <t xml:space="preserve">DJI drones</t>
  </si>
  <si>
    <t xml:space="preserve">Ryze Tello</t>
  </si>
  <si>
    <t xml:space="preserve">TurtleBot3</t>
  </si>
  <si>
    <t xml:space="preserve">Clearpath Jackal</t>
  </si>
  <si>
    <t xml:space="preserve">V-BAT (Shield AI)</t>
  </si>
  <si>
    <t xml:space="preserve">MQ-20</t>
  </si>
  <si>
    <t xml:space="preserve">YFQ-44A</t>
  </si>
  <si>
    <t xml:space="preserve">Government program</t>
  </si>
  <si>
    <t xml:space="preserve">Government</t>
  </si>
  <si>
    <t xml:space="preserve">Talon IQ (Northrop Grumman)</t>
  </si>
  <si>
    <t xml:space="preserve">Motion-capture systems</t>
  </si>
  <si>
    <t xml:space="preserve">Indoor</t>
  </si>
  <si>
    <t xml:space="preserve">Event cameras / neuromorphic processors</t>
  </si>
  <si>
    <t xml:space="preserve">Emerging</t>
  </si>
  <si>
    <t xml:space="preserve">Anduril Lattice (SDK, Mesh)</t>
  </si>
  <si>
    <t xml:space="preserve">Commercial and unreleased systems</t>
  </si>
  <si>
    <t xml:space="preserve">L2–L5</t>
  </si>
  <si>
    <t xml:space="preserve">Closed core; public developer kit</t>
  </si>
  <si>
    <t xml:space="preserve">Air, land, sea</t>
  </si>
  <si>
    <t xml:space="preserve">Shield AI Hivemind Enterprise (EdgeOS, Pilot, Commander, Forge)</t>
  </si>
  <si>
    <t xml:space="preserve">L1–L6</t>
  </si>
  <si>
    <t xml:space="preserve">Closed; licensed developer kit</t>
  </si>
  <si>
    <t xml:space="preserve">L0–L4</t>
  </si>
  <si>
    <t xml:space="preserve">Closed (PX4-derived)</t>
  </si>
  <si>
    <t xml:space="preserve">Closed</t>
  </si>
  <si>
    <t xml:space="preserve">Active (Sept 2025)</t>
  </si>
  <si>
    <t xml:space="preserve">Palladyne AI Pilot (Red Cat / Teal)</t>
  </si>
  <si>
    <t xml:space="preserve">Swarmer (Ukraine)</t>
  </si>
  <si>
    <t xml:space="preserve">Filed for Nasdaq IPO (Feb 2026)</t>
  </si>
  <si>
    <t xml:space="preserve">CollMot Skybrush Pro</t>
  </si>
  <si>
    <t xml:space="preserve">Closed (paid tier)</t>
  </si>
  <si>
    <t xml:space="preserve">Codex Labs SWARM platform</t>
  </si>
  <si>
    <t xml:space="preserve">DARPA OFFSET systems (Raytheon BBN CCAST; Northrop Grumman)</t>
  </si>
  <si>
    <t xml:space="preserve">Not released</t>
  </si>
  <si>
    <t xml:space="preserve">Government (unreleased)</t>
  </si>
  <si>
    <t xml:space="preserve">Program ended 2021</t>
  </si>
  <si>
    <t xml:space="preserve">Report says Northrop Grumman's CCAST team; the CCAST paper credits Raytheon BBN. See README.</t>
  </si>
  <si>
    <t xml:space="preserve">Open source (research)</t>
  </si>
  <si>
    <t xml:space="preserve">Added (not in report)</t>
  </si>
  <si>
    <t xml:space="preserve">Not in the report; see the Report changes tab for where it belongs.</t>
  </si>
  <si>
    <t xml:space="preserve">2022</t>
  </si>
  <si>
    <t xml:space="preserve">L5–L6</t>
  </si>
  <si>
    <t xml:space="preserve">2025</t>
  </si>
  <si>
    <t xml:space="preserve">2026, active</t>
  </si>
  <si>
    <t xml:space="preserve">Air (Crazyflie)</t>
  </si>
  <si>
    <t xml:space="preserve">Initial Zephyr port, Sept 2026</t>
  </si>
  <si>
    <t xml:space="preserve">PX4 Zenoh bridge (zenoh-pico)</t>
  </si>
  <si>
    <t xml:space="preserve">BSD-3-Clause (PX4)</t>
  </si>
  <si>
    <t xml:space="preserve">Active; DDS still recommended by PX4</t>
  </si>
  <si>
    <t xml:space="preserve">Open source (license not assessed)</t>
  </si>
  <si>
    <t xml:space="preserve">Unified Autonomy Stack</t>
  </si>
  <si>
    <t xml:space="preserve">AirStack (CMU AirLab)</t>
  </si>
  <si>
    <t xml:space="preserve">Legacy (ROS 1 Kinetic)</t>
  </si>
  <si>
    <t xml:space="preserve">Shield AI MM-RTA (runtime assurance)</t>
  </si>
  <si>
    <t xml:space="preserve">L1 (assurance)</t>
  </si>
  <si>
    <t xml:space="preserve">Planned in SDK by mid-2026</t>
  </si>
  <si>
    <t xml:space="preserve">Hardware (launch and recovery)</t>
  </si>
  <si>
    <t xml:space="preserve">Demonstrated at OFFSET FX-6</t>
  </si>
  <si>
    <t xml:space="preserve">Anduril Menace</t>
  </si>
  <si>
    <t xml:space="preserve">L4 (edge command post)</t>
  </si>
  <si>
    <t xml:space="preserve">Land</t>
  </si>
  <si>
    <t xml:space="preserve">Doc ID</t>
  </si>
  <si>
    <t xml:space="preserve">Document title</t>
  </si>
  <si>
    <t xml:space="preserve">Document type</t>
  </si>
  <si>
    <t xml:space="preserve">URL</t>
  </si>
  <si>
    <t xml:space="preserve">Format</t>
  </si>
  <si>
    <t xml:space="preserve">Access</t>
  </si>
  <si>
    <t xml:space="preserve">Scrape method</t>
  </si>
  <si>
    <t xml:space="preserve">Priority</t>
  </si>
  <si>
    <t xml:space="preserve">Top 3 rank</t>
  </si>
  <si>
    <t xml:space="preserve">Verified</t>
  </si>
  <si>
    <t xml:space="preserve">What it covers / notes</t>
  </si>
  <si>
    <t xml:space="preserve">D0001</t>
  </si>
  <si>
    <t xml:space="preserve">PX4-Autopilot README</t>
  </si>
  <si>
    <t xml:space="preserve">README</t>
  </si>
  <si>
    <t xml:space="preserve">https://github.com/PX4/PX4-Autopilot/blob/main/README.md</t>
  </si>
  <si>
    <t xml:space="preserve">Markdown</t>
  </si>
  <si>
    <t xml:space="preserve">Public</t>
  </si>
  <si>
    <t xml:space="preserve">GitHub README</t>
  </si>
  <si>
    <t xml:space="preserve">Seen in search results</t>
  </si>
  <si>
    <t xml:space="preserve">Overview, architecture (uORB publish/subscribe), build and simulation quick start, links to all guides.</t>
  </si>
  <si>
    <t xml:space="preserve">D0002</t>
  </si>
  <si>
    <t xml:space="preserve">PX4 User and Developer Guide (main branch)</t>
  </si>
  <si>
    <t xml:space="preserve">Documentation site</t>
  </si>
  <si>
    <t xml:space="preserve">https://docs.px4.io/main/en/</t>
  </si>
  <si>
    <t xml:space="preserve">Web pages</t>
  </si>
  <si>
    <t xml:space="preserve">Documentation-site crawl</t>
  </si>
  <si>
    <t xml:space="preserve">Derived from a verified link (confirm before scraping)</t>
  </si>
  <si>
    <t xml:space="preserve">Full user and developer guide; crawl the main branch only to avoid duplicate versioned copies (v1.12–v1.16 also exist).</t>
  </si>
  <si>
    <t xml:space="preserve">D0003</t>
  </si>
  <si>
    <t xml:space="preserve">Multi-vehicle simulation with Gazebo</t>
  </si>
  <si>
    <t xml:space="preserve">Technical documentation</t>
  </si>
  <si>
    <t xml:space="preserve">https://docs.px4.io/main/en/sim_gazebo_gz/multi_vehicle_simulation</t>
  </si>
  <si>
    <t xml:space="preserve">Web page</t>
  </si>
  <si>
    <t xml:space="preserve">Web page to markdown</t>
  </si>
  <si>
    <t xml:space="preserve">How to spawn several PX4 instances in one Gazebo world, with ROS 2 name spaces.</t>
  </si>
  <si>
    <t xml:space="preserve">D0004</t>
  </si>
  <si>
    <t xml:space="preserve">Multi-vehicle simulation with ROS 2 (v1.14)</t>
  </si>
  <si>
    <t xml:space="preserve">https://docs.px4.io/v1.14/en/ros/ros2_multi_vehicle</t>
  </si>
  <si>
    <t xml:space="preserve">Instance numbering, DDS keys, and name-space rules for multi-vehicle ROS 2; older version, check for a main-branch equivalent.</t>
  </si>
  <si>
    <t xml:space="preserve">D0005</t>
  </si>
  <si>
    <t xml:space="preserve">PX4 guide source files (Markdown)</t>
  </si>
  <si>
    <t xml:space="preserve">Documentation source repository</t>
  </si>
  <si>
    <t xml:space="preserve">https://github.com/PX4/PX4-user_guide</t>
  </si>
  <si>
    <t xml:space="preserve">Markdown repository</t>
  </si>
  <si>
    <t xml:space="preserve">Git clone (docs folder)</t>
  </si>
  <si>
    <t xml:space="preserve">Markdown source of the guide; cloning the en/ folder is cleaner than crawling HTML. Confirm the repository is still the live source.</t>
  </si>
  <si>
    <t xml:space="preserve">D0006</t>
  </si>
  <si>
    <t xml:space="preserve">ArduPilot README</t>
  </si>
  <si>
    <t xml:space="preserve">https://github.com/ArduPilot/ardupilot/blob/master/README.md</t>
  </si>
  <si>
    <t xml:space="preserve">Project overview, vehicle types, contribution links.</t>
  </si>
  <si>
    <t xml:space="preserve">D0007</t>
  </si>
  <si>
    <t xml:space="preserve">ArduPilot Development Site</t>
  </si>
  <si>
    <t xml:space="preserve">https://ardupilot.org/dev/</t>
  </si>
  <si>
    <t xml:space="preserve">Developer wiki: building, SITL simulation, companion computers, MAVLink interfacing, ROS 2. Restrict crawl to /dev/.</t>
  </si>
  <si>
    <t xml:space="preserve">D0008</t>
  </si>
  <si>
    <t xml:space="preserve">Learning the ArduPilot Codebase</t>
  </si>
  <si>
    <t xml:space="preserve">https://ardupilot.org/dev/docs/learning-the-ardupilot-codebase.html</t>
  </si>
  <si>
    <t xml:space="preserve">Architecture tutorial for the roughly 700,000-line codebase.</t>
  </si>
  <si>
    <t xml:space="preserve">D0009</t>
  </si>
  <si>
    <t xml:space="preserve">ArduPilot documentation source (wiki repository)</t>
  </si>
  <si>
    <t xml:space="preserve">https://github.com/ArduPilot/ardupilot_wiki</t>
  </si>
  <si>
    <t xml:space="preserve">reStructuredText repository</t>
  </si>
  <si>
    <t xml:space="preserve">Source of ardupilot.org wikis; the URL was seen only as a fork, so confirm the upstream path.</t>
  </si>
  <si>
    <t xml:space="preserve">D0010</t>
  </si>
  <si>
    <t xml:space="preserve">Skybrush Firmware developer documentation</t>
  </si>
  <si>
    <t xml:space="preserve">https://docs.skybrush.io/public/skybrush-firmware-doc/latest/index.html</t>
  </si>
  <si>
    <t xml:space="preserve">Documentation of the swarm-hardened ArduPilot fork.</t>
  </si>
  <si>
    <t xml:space="preserve">D0011</t>
  </si>
  <si>
    <t xml:space="preserve">Firmware update: ArduCopter 4.6.2 (compact telemetry, addressing over 250 drones)</t>
  </si>
  <si>
    <t xml:space="preserve">Release notes</t>
  </si>
  <si>
    <t xml:space="preserve">https://skybrush.io/blog/2025-10-20-firmware-update/</t>
  </si>
  <si>
    <t xml:space="preserve">Explains the SHOW_GROUP parameter that extends MAVLink addressing and the compact telemetry profile.</t>
  </si>
  <si>
    <t xml:space="preserve">D0012</t>
  </si>
  <si>
    <t xml:space="preserve">crazyflie-firmware README</t>
  </si>
  <si>
    <t xml:space="preserve">https://github.com/bitcraze/crazyflie-firmware</t>
  </si>
  <si>
    <t xml:space="preserve">Build and docs pointers; forks state LGPL-3.0 (report says GPL-3).</t>
  </si>
  <si>
    <t xml:space="preserve">D0013</t>
  </si>
  <si>
    <t xml:space="preserve">crazyflie-firmware releases</t>
  </si>
  <si>
    <t xml:space="preserve">https://github.com/bitcraze/crazyflie-firmware/releases</t>
  </si>
  <si>
    <t xml:space="preserve">GitHub releases API</t>
  </si>
  <si>
    <t xml:space="preserve">API and parameter removals by release.</t>
  </si>
  <si>
    <t xml:space="preserve">D0014</t>
  </si>
  <si>
    <t xml:space="preserve">Running Tapestry OS on the Crazyflie (Bitcraze blog, Sept 2026)</t>
  </si>
  <si>
    <t xml:space="preserve">Blog post</t>
  </si>
  <si>
    <t xml:space="preserve">https://www.bitcraze.io/2026/09/running-tapestry-os-on-the-crazyflie-collective-behavior-without-writing-firmware/</t>
  </si>
  <si>
    <t xml:space="preserve">New Zephyr-based decentralized coordination stack; not in the report.</t>
  </si>
  <si>
    <t xml:space="preserve">D0015</t>
  </si>
  <si>
    <t xml:space="preserve">Betaflight README</t>
  </si>
  <si>
    <t xml:space="preserve">https://github.com/betaflight/betaflight</t>
  </si>
  <si>
    <t xml:space="preserve">From general knowledge, not seen this session (confirm before scraping)</t>
  </si>
  <si>
    <t xml:space="preserve">Low priority for swarm work.</t>
  </si>
  <si>
    <t xml:space="preserve">D0016</t>
  </si>
  <si>
    <t xml:space="preserve">iNav README</t>
  </si>
  <si>
    <t xml:space="preserve">https://github.com/iNavFlight/inav</t>
  </si>
  <si>
    <t xml:space="preserve">D0017</t>
  </si>
  <si>
    <t xml:space="preserve">uXRCE-DDS (PX4-ROS 2/DDS Bridge)</t>
  </si>
  <si>
    <t xml:space="preserve">https://docs.px4.io/main/en/middleware/uxrce_dds</t>
  </si>
  <si>
    <t xml:space="preserve">Architecture, multi-vehicle keys and domain IDs, message routing.</t>
  </si>
  <si>
    <t xml:space="preserve">D0018</t>
  </si>
  <si>
    <t xml:space="preserve">PX4 ROS 2 User Guide</t>
  </si>
  <si>
    <t xml:space="preserve">https://docs.px4.io/main/en/ros2/user_guide</t>
  </si>
  <si>
    <t xml:space="preserve">PX4 now also offers a native Zenoh bridge (zenoh-pico client plus zenohd router), which the report does not mention.</t>
  </si>
  <si>
    <t xml:space="preserve">D0019</t>
  </si>
  <si>
    <t xml:space="preserve">MRS UAV System README</t>
  </si>
  <si>
    <t xml:space="preserve">https://github.com/ctu-mrs/mrs_uav_system</t>
  </si>
  <si>
    <t xml:space="preserve">Entry point; supported platforms, Docker images, documentation caveats.</t>
  </si>
  <si>
    <t xml:space="preserve">D0020</t>
  </si>
  <si>
    <t xml:space="preserve">The MRS UAV System: Pushing the Frontiers of Reproducible Research (arXiv 2008.08050)</t>
  </si>
  <si>
    <t xml:space="preserve">Paper</t>
  </si>
  <si>
    <t xml:space="preserve">https://arxiv.org/abs/2008.08050</t>
  </si>
  <si>
    <t xml:space="preserve">PDF</t>
  </si>
  <si>
    <t xml:space="preserve">arXiv paper</t>
  </si>
  <si>
    <t xml:space="preserve">Control and estimation architecture; identifier taken from a README citation.</t>
  </si>
  <si>
    <t xml:space="preserve">D0021</t>
  </si>
  <si>
    <t xml:space="preserve">MRS documentation site</t>
  </si>
  <si>
    <t xml:space="preserve">https://ctu-mrs.github.io/</t>
  </si>
  <si>
    <t xml:space="preserve">Official documentation; maintainers say it is incomplete, so also pull package READMEs.</t>
  </si>
  <si>
    <t xml:space="preserve">D0022</t>
  </si>
  <si>
    <t xml:space="preserve">MRS documentation source</t>
  </si>
  <si>
    <t xml:space="preserve">https://github.com/ctu-mrs/ctu-mrs.github.io</t>
  </si>
  <si>
    <t xml:space="preserve">Docs source including plugin-interface pages; confirm the path.</t>
  </si>
  <si>
    <t xml:space="preserve">D0023</t>
  </si>
  <si>
    <t xml:space="preserve">Nav2 README</t>
  </si>
  <si>
    <t xml:space="preserve">https://github.com/ros-navigation/navigation2</t>
  </si>
  <si>
    <t xml:space="preserve">Repository entry point; seen under its former organization name ros-planning.</t>
  </si>
  <si>
    <t xml:space="preserve">D0024</t>
  </si>
  <si>
    <t xml:space="preserve">Nav2 documentation</t>
  </si>
  <si>
    <t xml:space="preserve">https://docs.nav2.org/</t>
  </si>
  <si>
    <t xml:space="preserve">Concepts, configuration, tutorials.</t>
  </si>
  <si>
    <t xml:space="preserve">D0025</t>
  </si>
  <si>
    <t xml:space="preserve">Nav2 documentation source</t>
  </si>
  <si>
    <t xml:space="preserve">https://github.com/ros-navigation/docs.nav2.org</t>
  </si>
  <si>
    <t xml:space="preserve">Source of docs.nav2.org.</t>
  </si>
  <si>
    <t xml:space="preserve">D0026</t>
  </si>
  <si>
    <t xml:space="preserve">nav2_bringup README (multi-robot simulation)</t>
  </si>
  <si>
    <t xml:space="preserve">https://github.com/ros-planning/navigation2/blob/main/nav2_bringup/README.md</t>
  </si>
  <si>
    <t xml:space="preserve">How to launch multiple robots, the report's point about name spaces.</t>
  </si>
  <si>
    <t xml:space="preserve">D0027</t>
  </si>
  <si>
    <t xml:space="preserve">An Overview of MOOS-IvP and a Users Guide to the IvP Helm (Release 24.8)</t>
  </si>
  <si>
    <t xml:space="preserve">https://oceanai.mit.edu/moos-ivp-pdf/moosivp-helm.pdf</t>
  </si>
  <si>
    <t xml:space="preserve">Direct PDF</t>
  </si>
  <si>
    <t xml:space="preserve">Definitive user guide, current release.</t>
  </si>
  <si>
    <t xml:space="preserve">D0028</t>
  </si>
  <si>
    <t xml:space="preserve">Nested Autonomy for Unmanned Marine Vehicles with MOOS-IvP (Journal of Field Robotics, 2010)</t>
  </si>
  <si>
    <t xml:space="preserve">https://apps.dtic.mil/sti/tr/pdf/ADA559856.pdf</t>
  </si>
  <si>
    <t xml:space="preserve">Open copy on DTIC of the nested-autonomy paper.</t>
  </si>
  <si>
    <t xml:space="preserve">D0029</t>
  </si>
  <si>
    <t xml:space="preserve">MOOS-IvP project site</t>
  </si>
  <si>
    <t xml:space="preserve">https://moos-ivp.org</t>
  </si>
  <si>
    <t xml:space="preserve">Listed in the project report's sources (confirm before scraping)</t>
  </si>
  <si>
    <t xml:space="preserve">Project home; the report's source list gives moos-ivp.org.</t>
  </si>
  <si>
    <t xml:space="preserve">D0030</t>
  </si>
  <si>
    <t xml:space="preserve">MOOS-IvP GitHub repository</t>
  </si>
  <si>
    <t xml:space="preserve">https://github.com/moos-ivp/moos-ivp</t>
  </si>
  <si>
    <t xml:space="preserve">From the report's source list.</t>
  </si>
  <si>
    <t xml:space="preserve">D0031</t>
  </si>
  <si>
    <t xml:space="preserve">Nested autonomy paper (Wiley)</t>
  </si>
  <si>
    <t xml:space="preserve">https://onlinelibrary.wiley.com/doi/abs/10.1002/rob.20370</t>
  </si>
  <si>
    <t xml:space="preserve">Subscription (Wiley)</t>
  </si>
  <si>
    <t xml:space="preserve">Manual collection</t>
  </si>
  <si>
    <t xml:space="preserve">Publisher version; the DTIC copy is sufficient.</t>
  </si>
  <si>
    <t xml:space="preserve">D0032</t>
  </si>
  <si>
    <t xml:space="preserve">Autoware documentation</t>
  </si>
  <si>
    <t xml:space="preserve">https://autowarefoundation.github.io/autoware-documentation/</t>
  </si>
  <si>
    <t xml:space="preserve">Road-vehicle autonomy stack.</t>
  </si>
  <si>
    <t xml:space="preserve">D0033</t>
  </si>
  <si>
    <t xml:space="preserve">Autoware README</t>
  </si>
  <si>
    <t xml:space="preserve">https://github.com/autowarefoundation/autoware</t>
  </si>
  <si>
    <t xml:space="preserve">Repository entry point.</t>
  </si>
  <si>
    <t xml:space="preserve">D0034</t>
  </si>
  <si>
    <t xml:space="preserve">Isaac ROS documentation</t>
  </si>
  <si>
    <t xml:space="preserve">https://nvidia-isaac-ros.github.io/</t>
  </si>
  <si>
    <t xml:space="preserve">Report lists nvidia-isaac-ros.github.io/releases; crawl the current release only (versioned copies exist).</t>
  </si>
  <si>
    <t xml:space="preserve">D0035</t>
  </si>
  <si>
    <t xml:space="preserve">Isaac ROS Visual SLAM README</t>
  </si>
  <si>
    <t xml:space="preserve">https://github.com/NVIDIA-ISAAC-ROS/isaac_ros_visual_slam</t>
  </si>
  <si>
    <t xml:space="preserve">GPU visual-inertial odometry for navigation without satellite positioning.</t>
  </si>
  <si>
    <t xml:space="preserve">D0036</t>
  </si>
  <si>
    <t xml:space="preserve">Isaac ROS Nvblox README</t>
  </si>
  <si>
    <t xml:space="preserve">https://github.com/NVIDIA-ISAAC-ROS/isaac_ros_nvblox</t>
  </si>
  <si>
    <t xml:space="preserve">3D reconstruction and Nav2 costmaps.</t>
  </si>
  <si>
    <t xml:space="preserve">D0037</t>
  </si>
  <si>
    <t xml:space="preserve">cuVSLAM README</t>
  </si>
  <si>
    <t xml:space="preserve">https://github.com/nvidia-isaac/cuVSLAM</t>
  </si>
  <si>
    <t xml:space="preserve">Standalone library, Python wheel, ROS 2 support.</t>
  </si>
  <si>
    <t xml:space="preserve">D0038</t>
  </si>
  <si>
    <t xml:space="preserve">cuVSLAM concepts (Isaac ROS 2.1 docs)</t>
  </si>
  <si>
    <t xml:space="preserve">https://nvidia-isaac-ros.github.io/v/release-2.1/concepts/visual_slam/cuvslam/index.html</t>
  </si>
  <si>
    <t xml:space="preserve">How tracking, landmarks, and loop closure work; older release.</t>
  </si>
  <si>
    <t xml:space="preserve">D0039</t>
  </si>
  <si>
    <t xml:space="preserve">Isaac ROS Nvblox documentation</t>
  </si>
  <si>
    <t xml:space="preserve">https://nvidia-isaac-ros.github.io/v/release-3.1/repositories_and_packages/isaac_ros_nvblox/index.html</t>
  </si>
  <si>
    <t xml:space="preserve">Modes, timings, compatibility.</t>
  </si>
  <si>
    <t xml:space="preserve">D0040</t>
  </si>
  <si>
    <t xml:space="preserve">Isaac ROS NITROS documentation</t>
  </si>
  <si>
    <t xml:space="preserve">https://nvidia-isaac-ros.github.io/repositories_and_packages/isaac_ros_nitros/index.html</t>
  </si>
  <si>
    <t xml:space="preserve">Type adaptation and negotiation; Jazzy on Jetson or x86 with NVIDIA GPU.</t>
  </si>
  <si>
    <t xml:space="preserve">D0041</t>
  </si>
  <si>
    <t xml:space="preserve">isaac_ros_nitros README</t>
  </si>
  <si>
    <t xml:space="preserve">https://github.com/NVIDIA-ISAAC-ROS/isaac_ros_nitros</t>
  </si>
  <si>
    <t xml:space="preserve">Package breakdown including the NITROS Bridge for inter-process communication.</t>
  </si>
  <si>
    <t xml:space="preserve">D0042</t>
  </si>
  <si>
    <t xml:space="preserve">ROS 2 Documentation (Jazzy)</t>
  </si>
  <si>
    <t xml:space="preserve">https://docs.ros.org/en/jazzy/</t>
  </si>
  <si>
    <t xml:space="preserve">Root of the Jazzy documentation; restrict crawl to one distribution.</t>
  </si>
  <si>
    <t xml:space="preserve">D0043</t>
  </si>
  <si>
    <t xml:space="preserve">Discovery (ROS 2 concepts)</t>
  </si>
  <si>
    <t xml:space="preserve">https://docs.ros.org/en/jazzy/Concepts/Basic/About-Discovery.html</t>
  </si>
  <si>
    <t xml:space="preserve">How nodes find each other; the mechanism the report flags as the swarm bottleneck.</t>
  </si>
  <si>
    <t xml:space="preserve">D0044</t>
  </si>
  <si>
    <t xml:space="preserve">Improved Dynamic Discovery</t>
  </si>
  <si>
    <t xml:space="preserve">https://docs.ros.org/en/jazzy/Tutorials/Advanced/Improved-Dynamic-Discovery.html</t>
  </si>
  <si>
    <t xml:space="preserve">Discovery range and static peers; notes these settings do not apply to rmw_zenoh.</t>
  </si>
  <si>
    <t xml:space="preserve">D0045</t>
  </si>
  <si>
    <t xml:space="preserve">Using Fast DDS Discovery Server</t>
  </si>
  <si>
    <t xml:space="preserve">https://docs.ros.org/en/jazzy/Tutorials/Advanced/Discovery-Server/Discovery-Server.html</t>
  </si>
  <si>
    <t xml:space="preserve">Centralized discovery as an alternative to multicast.</t>
  </si>
  <si>
    <t xml:space="preserve">D0046</t>
  </si>
  <si>
    <t xml:space="preserve">ROS 2 middleware implementations</t>
  </si>
  <si>
    <t xml:space="preserve">https://docs.ros.org/en/jazzy/Concepts/Advanced/About-Middleware-Implementations.html</t>
  </si>
  <si>
    <t xml:space="preserve">How the middleware interface layer works.</t>
  </si>
  <si>
    <t xml:space="preserve">D0047</t>
  </si>
  <si>
    <t xml:space="preserve">ROS wiki</t>
  </si>
  <si>
    <t xml:space="preserve">https://wiki.ros.org/</t>
  </si>
  <si>
    <t xml:space="preserve">End of life; needed only for MRS ROS 1 components.</t>
  </si>
  <si>
    <t xml:space="preserve">D0048</t>
  </si>
  <si>
    <t xml:space="preserve">Different ROS 2 middleware vendors</t>
  </si>
  <si>
    <t xml:space="preserve">https://docs.ros.org/en/jazzy/Concepts/Intermediate/About-Different-Middleware-Vendors.html</t>
  </si>
  <si>
    <t xml:space="preserve">Why ROS 2 uses DDS and its wire protocol; lists vendor implementations.</t>
  </si>
  <si>
    <t xml:space="preserve">D0049</t>
  </si>
  <si>
    <t xml:space="preserve">rmw_zenoh README</t>
  </si>
  <si>
    <t xml:space="preserve">https://github.com/ros2/rmw_zenoh</t>
  </si>
  <si>
    <t xml:space="preserve">Installation, router requirement, shared-memory settings, scope limits.</t>
  </si>
  <si>
    <t xml:space="preserve">D0050</t>
  </si>
  <si>
    <t xml:space="preserve">rmw_zenoh design document</t>
  </si>
  <si>
    <t xml:space="preserve">https://github.com/ros2/rmw_zenoh/blob/rolling/docs/design.md</t>
  </si>
  <si>
    <t xml:space="preserve">Key expressions, serialization, liveliness tokens; path taken from the README's reference to docs/design.md.</t>
  </si>
  <si>
    <t xml:space="preserve">D0051</t>
  </si>
  <si>
    <t xml:space="preserve">rmw_zenoh Jazzy branch</t>
  </si>
  <si>
    <t xml:space="preserve">Code repository</t>
  </si>
  <si>
    <t xml:space="preserve">https://github.com/ros2/rmw_zenoh/tree/jazzy</t>
  </si>
  <si>
    <t xml:space="preserve">Branch matching the report's recommended ROS 2 release.</t>
  </si>
  <si>
    <t xml:space="preserve">D0052</t>
  </si>
  <si>
    <t xml:space="preserve">PX4 ROS 2 User Guide (Zenoh middleware option)</t>
  </si>
  <si>
    <t xml:space="preserve">PX4's native Zenoh bridge to rmw_zenoh; relevant to the report's 'Zenoh from day one' recommendation.</t>
  </si>
  <si>
    <t xml:space="preserve">D0053</t>
  </si>
  <si>
    <t xml:space="preserve">SROS2: Usable Cyber Security Tools for ROS 2 (paper)</t>
  </si>
  <si>
    <t xml:space="preserve">https://aliasrobotics.com/files/SROS2.pdf</t>
  </si>
  <si>
    <t xml:space="preserve">Six-step security methodology and current shortcomings.</t>
  </si>
  <si>
    <t xml:space="preserve">D0054</t>
  </si>
  <si>
    <t xml:space="preserve">sros2 package overview (ROS index)</t>
  </si>
  <si>
    <t xml:space="preserve">https://index.ros.org/p/sros2/</t>
  </si>
  <si>
    <t xml:space="preserve">Tools on top of DDS-Security; tested middleware.</t>
  </si>
  <si>
    <t xml:space="preserve">D0055</t>
  </si>
  <si>
    <t xml:space="preserve">Security chapter, ROS 2 multi-robot book</t>
  </si>
  <si>
    <t xml:space="preserve">https://osrf.github.io/ros2multirobotbook/security.html</t>
  </si>
  <si>
    <t xml:space="preserve">ros2 security command usage.</t>
  </si>
  <si>
    <t xml:space="preserve">D0056</t>
  </si>
  <si>
    <t xml:space="preserve">micro-ROS features and architecture</t>
  </si>
  <si>
    <t xml:space="preserve">https://micro.vulcanexus.org/docs/overview/features/</t>
  </si>
  <si>
    <t xml:space="preserve">Client API, XRCE-DDS middleware, supported real-time operating systems.</t>
  </si>
  <si>
    <t xml:space="preserve">D0057</t>
  </si>
  <si>
    <t xml:space="preserve">micro-ROS documentation source</t>
  </si>
  <si>
    <t xml:space="preserve">https://github.com/micro-ROS/micro-ros.github.io</t>
  </si>
  <si>
    <t xml:space="preserve">Markdown source under _docs/.</t>
  </si>
  <si>
    <t xml:space="preserve">D0058</t>
  </si>
  <si>
    <t xml:space="preserve">micro-ROS Agent README</t>
  </si>
  <si>
    <t xml:space="preserve">https://github.com/micro-ROS/micro-ROS-Agent</t>
  </si>
  <si>
    <t xml:space="preserve">The bridge between microcontroller nodes and the ROS 2 network.</t>
  </si>
  <si>
    <t xml:space="preserve">D0059</t>
  </si>
  <si>
    <t xml:space="preserve">micro-ROS documentation (Vulcanexus)</t>
  </si>
  <si>
    <t xml:space="preserve">https://docs.vulcanexus.org/en/latest/rst/microros_documentation/index.html</t>
  </si>
  <si>
    <t xml:space="preserve">eProsima's documentation set, including memory and timing controls.</t>
  </si>
  <si>
    <t xml:space="preserve">D0060</t>
  </si>
  <si>
    <t xml:space="preserve">MOOS core repository</t>
  </si>
  <si>
    <t xml:space="preserve">https://github.com/themoos/core-moos</t>
  </si>
  <si>
    <t xml:space="preserve">Oxford MOOS middleware underneath MOOS-IvP.</t>
  </si>
  <si>
    <t xml:space="preserve">D0061</t>
  </si>
  <si>
    <t xml:space="preserve">MAVLink Developer Guide</t>
  </si>
  <si>
    <t xml:space="preserve">https://mavlink.io/en/</t>
  </si>
  <si>
    <t xml:space="preserve">Protocol, message and command reference, microservices such as mission and parameter protocols.</t>
  </si>
  <si>
    <t xml:space="preserve">D0062</t>
  </si>
  <si>
    <t xml:space="preserve">MAVLink Developer Guide introduction</t>
  </si>
  <si>
    <t xml:space="preserve">https://mavlink.io/README.html</t>
  </si>
  <si>
    <t xml:space="preserve">Design overview: hybrid publish-subscribe and point-to-point.</t>
  </si>
  <si>
    <t xml:space="preserve">D0063</t>
  </si>
  <si>
    <t xml:space="preserve">MAVSDK README</t>
  </si>
  <si>
    <t xml:space="preserve">https://github.com/mavlink/MAVSDK</t>
  </si>
  <si>
    <t xml:space="preserve">Architecture (C++ core with gRPC server for other languages), plugins, license.</t>
  </si>
  <si>
    <t xml:space="preserve">D0064</t>
  </si>
  <si>
    <t xml:space="preserve">MAVSDK documentation source</t>
  </si>
  <si>
    <t xml:space="preserve">https://github.com/mavlink/MAVSDK-docs</t>
  </si>
  <si>
    <t xml:space="preserve">Source of the MAVSDK guide; check whether this or mavsdk.mavlink.io is current.</t>
  </si>
  <si>
    <t xml:space="preserve">D0065</t>
  </si>
  <si>
    <t xml:space="preserve">MAVSDK product page (Dronecode)</t>
  </si>
  <si>
    <t xml:space="preserve">Product page</t>
  </si>
  <si>
    <t xml:space="preserve">https://dronecode.org/sdk/</t>
  </si>
  <si>
    <t xml:space="preserve">Short overview.</t>
  </si>
  <si>
    <t xml:space="preserve">D0066</t>
  </si>
  <si>
    <t xml:space="preserve">MAVROS README (ROS 2 branch)</t>
  </si>
  <si>
    <t xml:space="preserve">https://github.com/mavlink/mavros/blob/ros2/README.md</t>
  </si>
  <si>
    <t xml:space="preserve">What MAVROS bridges, telemetry and commanding, plugin architecture.</t>
  </si>
  <si>
    <t xml:space="preserve">D0067</t>
  </si>
  <si>
    <t xml:space="preserve">MAVROS package README (ROS 2 branch)</t>
  </si>
  <si>
    <t xml:space="preserve">https://github.com/mavlink/mavros/blob/ros2/mavros/README.md</t>
  </si>
  <si>
    <t xml:space="preserve">Installation and launch; transport library notes.</t>
  </si>
  <si>
    <t xml:space="preserve">D0068</t>
  </si>
  <si>
    <t xml:space="preserve">MAVROS documentation (ROS docs index)</t>
  </si>
  <si>
    <t xml:space="preserve">https://docs.ros.org/en/iron/p/mavros/standard_docs/README.html</t>
  </si>
  <si>
    <t xml:space="preserve">Generated package documentation.</t>
  </si>
  <si>
    <t xml:space="preserve">D0069</t>
  </si>
  <si>
    <t xml:space="preserve">LMCP message set documentation (CMASI)</t>
  </si>
  <si>
    <t xml:space="preserve">Data model specification</t>
  </si>
  <si>
    <t xml:space="preserve">https://github.com/afrl-rq/OpenAMASE/tree/master/OpenAMASE/docs/lmcp</t>
  </si>
  <si>
    <t xml:space="preserve">XML and HTML</t>
  </si>
  <si>
    <t xml:space="preserve">CMASI.xml message definitions: the task vocabulary the report recommends copying.</t>
  </si>
  <si>
    <t xml:space="preserve">D0070</t>
  </si>
  <si>
    <t xml:space="preserve">batman-adv Linux kernel documentation</t>
  </si>
  <si>
    <t xml:space="preserve">https://docs.kernel.org/networking/batman-adv.html</t>
  </si>
  <si>
    <t xml:space="preserve">Layer-2 mesh routing in the kernel.</t>
  </si>
  <si>
    <t xml:space="preserve">D0071</t>
  </si>
  <si>
    <t xml:space="preserve">Open Mesh batman-adv wiki</t>
  </si>
  <si>
    <t xml:space="preserve">https://www.open-mesh.org/projects/batman-adv/wiki</t>
  </si>
  <si>
    <t xml:space="preserve">Protocol and configuration.</t>
  </si>
  <si>
    <t xml:space="preserve">D0072</t>
  </si>
  <si>
    <t xml:space="preserve">RFC 3626: Optimized Link State Routing Protocol</t>
  </si>
  <si>
    <t xml:space="preserve">Standard</t>
  </si>
  <si>
    <t xml:space="preserve">https://www.rfc-editor.org/rfc/rfc3626</t>
  </si>
  <si>
    <t xml:space="preserve">Text</t>
  </si>
  <si>
    <t xml:space="preserve">Original OLSR specification.</t>
  </si>
  <si>
    <t xml:space="preserve">D0073</t>
  </si>
  <si>
    <t xml:space="preserve">RFC 7181: OLSRv2</t>
  </si>
  <si>
    <t xml:space="preserve">https://www.rfc-editor.org/rfc/rfc7181</t>
  </si>
  <si>
    <t xml:space="preserve">Version 2 specification.</t>
  </si>
  <si>
    <t xml:space="preserve">D0074</t>
  </si>
  <si>
    <t xml:space="preserve">Meshtastic documentation</t>
  </si>
  <si>
    <t xml:space="preserve">https://meshtastic.org/docs/</t>
  </si>
  <si>
    <t xml:space="preserve">LoRa mesh messaging.</t>
  </si>
  <si>
    <t xml:space="preserve">D0075</t>
  </si>
  <si>
    <t xml:space="preserve">Meshtastic firmware README</t>
  </si>
  <si>
    <t xml:space="preserve">https://github.com/meshtastic/firmware</t>
  </si>
  <si>
    <t xml:space="preserve">Firmware repository.</t>
  </si>
  <si>
    <t xml:space="preserve">D0076</t>
  </si>
  <si>
    <t xml:space="preserve">ZeroMQ Guide</t>
  </si>
  <si>
    <t xml:space="preserve">https://zguide.zeromq.org/</t>
  </si>
  <si>
    <t xml:space="preserve">Messaging patterns; used by Isaac Sim's bridge and ns-3/Sionna integrations.</t>
  </si>
  <si>
    <t xml:space="preserve">D0077</t>
  </si>
  <si>
    <t xml:space="preserve">gRPC documentation</t>
  </si>
  <si>
    <t xml:space="preserve">https://grpc.io/docs/</t>
  </si>
  <si>
    <t xml:space="preserve">Used by Lattice and MAVSDK.</t>
  </si>
  <si>
    <t xml:space="preserve">D0078</t>
  </si>
  <si>
    <t xml:space="preserve">Protocol Buffers documentation</t>
  </si>
  <si>
    <t xml:space="preserve">https://protobuf.dev/</t>
  </si>
  <si>
    <t xml:space="preserve">Schema language behind the Lattice data model.</t>
  </si>
  <si>
    <t xml:space="preserve">D0079</t>
  </si>
  <si>
    <t xml:space="preserve">FlatBuffers documentation</t>
  </si>
  <si>
    <t xml:space="preserve">https://flatbuffers.dev/</t>
  </si>
  <si>
    <t xml:space="preserve">Serialization format supported by MCAP and Foxglove.</t>
  </si>
  <si>
    <t xml:space="preserve">D0080</t>
  </si>
  <si>
    <t xml:space="preserve">IEEE 802.1 Time-Sensitive Networking Task Group</t>
  </si>
  <si>
    <t xml:space="preserve">https://1.ieee802.org/tsn/</t>
  </si>
  <si>
    <t xml:space="preserve">Standards index; individual standards may be paywalled.</t>
  </si>
  <si>
    <t xml:space="preserve">D0081</t>
  </si>
  <si>
    <t xml:space="preserve">Aerostack2: A Software Framework for Developing Multi-robot Aerial Systems (arXiv 2303.18237)</t>
  </si>
  <si>
    <t xml:space="preserve">https://arxiv.org/abs/2303.18237</t>
  </si>
  <si>
    <t xml:space="preserve">Definitive architecture paper: platform independence, plugins, behavior-based mission control.</t>
  </si>
  <si>
    <t xml:space="preserve">D0082</t>
  </si>
  <si>
    <t xml:space="preserve">Aerostack2 documentation site</t>
  </si>
  <si>
    <t xml:space="preserve">https://aerostack2.github.io/</t>
  </si>
  <si>
    <t xml:space="preserve">Concepts, behaviors, platform plugins, tutorials, supported platforms.</t>
  </si>
  <si>
    <t xml:space="preserve">D0083</t>
  </si>
  <si>
    <t xml:space="preserve">Aerostack2 README</t>
  </si>
  <si>
    <t xml:space="preserve">https://github.com/aerostack2/aerostack2</t>
  </si>
  <si>
    <t xml:space="preserve">Features, ROS 2 Humble support, citation.</t>
  </si>
  <si>
    <t xml:space="preserve">D0084</t>
  </si>
  <si>
    <t xml:space="preserve">Aerostack2 documentation source (reStructuredText)</t>
  </si>
  <si>
    <t xml:space="preserve">https://github.com/aerostack2/aerostack2.github.io</t>
  </si>
  <si>
    <t xml:space="preserve">Source of the documentation site; clone docs/ instead of crawling.</t>
  </si>
  <si>
    <t xml:space="preserve">D0085</t>
  </si>
  <si>
    <t xml:space="preserve">Behaviors concept page</t>
  </si>
  <si>
    <t xml:space="preserve">https://github.com/aerostack2/aerostack2.github.io/blob/main/docs/_01_aerostack2_concepts/behaviors/index.rst</t>
  </si>
  <si>
    <t xml:space="preserve">reStructuredText</t>
  </si>
  <si>
    <t xml:space="preserve">Explains behaviors and behavior trees, the main hook for a hive controller.</t>
  </si>
  <si>
    <t xml:space="preserve">D0086</t>
  </si>
  <si>
    <t xml:space="preserve">Aerostack2 C++ API reference (ROS docs index)</t>
  </si>
  <si>
    <t xml:space="preserve">API reference</t>
  </si>
  <si>
    <t xml:space="preserve">https://docs.ros.org/en/humble/p/aerostack2/generated/index.html</t>
  </si>
  <si>
    <t xml:space="preserve">Generated API reference; low narrative value for retrieval, index selectively.</t>
  </si>
  <si>
    <t xml:space="preserve">D0087</t>
  </si>
  <si>
    <t xml:space="preserve">Aerostack2 GitHub organization (platform plugins)</t>
  </si>
  <si>
    <t xml:space="preserve">Repository index</t>
  </si>
  <si>
    <t xml:space="preserve">https://github.com/aerostack2</t>
  </si>
  <si>
    <t xml:space="preserve">GitHub organization listing, then READMEs</t>
  </si>
  <si>
    <t xml:space="preserve">Lists platform packages such as the PX4, MAVLink, and DJI plugins; pull each plugin README.</t>
  </si>
  <si>
    <t xml:space="preserve">D0088</t>
  </si>
  <si>
    <t xml:space="preserve">UAVs Beneath the Surface: Cooperative Autonomy for Subterranean Search and Rescue in DARPA SubT (arXiv 2206.08185)</t>
  </si>
  <si>
    <t xml:space="preserve">https://arxiv.org/abs/2206.08185</t>
  </si>
  <si>
    <t xml:space="preserve">Multi-UAV cooperative autonomy from the same group; identifier taken from a README citation.</t>
  </si>
  <si>
    <t xml:space="preserve">D0089</t>
  </si>
  <si>
    <t xml:space="preserve">Crazyswarm2 README</t>
  </si>
  <si>
    <t xml:space="preserve">https://github.com/IMRCLab/crazyswarm2/blob/main/README.md</t>
  </si>
  <si>
    <t xml:space="preserve">Entry point and support policy.</t>
  </si>
  <si>
    <t xml:space="preserve">D0090</t>
  </si>
  <si>
    <t xml:space="preserve">Crazyswarm2 documentation</t>
  </si>
  <si>
    <t xml:space="preserve">https://imrclab.github.io/crazyswarm2/</t>
  </si>
  <si>
    <t xml:space="preserve">Installation, simulation, how-to guides; citation for the original Crazyswarm paper.</t>
  </si>
  <si>
    <t xml:space="preserve">D0091</t>
  </si>
  <si>
    <t xml:space="preserve">Crazyswarm2 overview (package architecture)</t>
  </si>
  <si>
    <t xml:space="preserve">https://imrclab.github.io/crazyswarm2/overview.html</t>
  </si>
  <si>
    <t xml:space="preserve">Server node, backends, simulator.</t>
  </si>
  <si>
    <t xml:space="preserve">D0092</t>
  </si>
  <si>
    <t xml:space="preserve">CrazyChoir README</t>
  </si>
  <si>
    <t xml:space="preserve">https://github.com/OPT4SMART/crazychoir</t>
  </si>
  <si>
    <t xml:space="preserve">Crazyflie swarms on ROS 2 Foxy.</t>
  </si>
  <si>
    <t xml:space="preserve">D0093</t>
  </si>
  <si>
    <t xml:space="preserve">CrazyChoir: Flying Swarms of Crazyflie Quadrotors in ROS 2 (arXiv 2302.00716)</t>
  </si>
  <si>
    <t xml:space="preserve">https://arxiv.org/abs/2302.00716</t>
  </si>
  <si>
    <t xml:space="preserve">Identifier from the report's source list; an open copy was also seen on the University of Bologna repository.</t>
  </si>
  <si>
    <t xml:space="preserve">D0094</t>
  </si>
  <si>
    <t xml:space="preserve">ChoiRbot: A ROS 2 Toolbox for Cooperative Robotics (arXiv 2010.13431)</t>
  </si>
  <si>
    <t xml:space="preserve">https://arxiv.org/abs/2010.13431</t>
  </si>
  <si>
    <t xml:space="preserve">Definitive paper: distributed optimization, model predictive control, task assignment without a central coordinator.</t>
  </si>
  <si>
    <t xml:space="preserve">D0095</t>
  </si>
  <si>
    <t xml:space="preserve">ChoiRbot README</t>
  </si>
  <si>
    <t xml:space="preserve">https://github.com/OPT4SMART/ChoiRbot</t>
  </si>
  <si>
    <t xml:space="preserve">Capabilities; requires ROS 2 Dashing.</t>
  </si>
  <si>
    <t xml:space="preserve">D0096</t>
  </si>
  <si>
    <t xml:space="preserve">ChoiRbot documentation site</t>
  </si>
  <si>
    <t xml:space="preserve">https://opt4smart.github.io/ChoiRbot/</t>
  </si>
  <si>
    <t xml:space="preserve">Layer architecture and quick start.</t>
  </si>
  <si>
    <t xml:space="preserve">D0097</t>
  </si>
  <si>
    <t xml:space="preserve">A Tutorial on Distributed Optimization for Cooperative Robotics (arXiv 2309.04257)</t>
  </si>
  <si>
    <t xml:space="preserve">https://arxiv.org/abs/2309.04257</t>
  </si>
  <si>
    <t xml:space="preserve">Survey by the same group covering ChoiRbot and CrazyChoir.</t>
  </si>
  <si>
    <t xml:space="preserve">D0098</t>
  </si>
  <si>
    <t xml:space="preserve">ROS2swarm README</t>
  </si>
  <si>
    <t xml:space="preserve">https://github.com/ROS2swarm/ROS2swarm</t>
  </si>
  <si>
    <t xml:space="preserve">Behavior patterns, supported ROS 2 releases, how to add a pattern.</t>
  </si>
  <si>
    <t xml:space="preserve">D0099</t>
  </si>
  <si>
    <t xml:space="preserve">ROS2swarm: A ROS 2 Package for Swarm Robot Behaviors (arXiv 2405.02438)</t>
  </si>
  <si>
    <t xml:space="preserve">https://arxiv.org/abs/2405.02438</t>
  </si>
  <si>
    <t xml:space="preserve">ICRA 2022 paper.</t>
  </si>
  <si>
    <t xml:space="preserve">D0100</t>
  </si>
  <si>
    <t xml:space="preserve">ROS2swarm GitHub organization</t>
  </si>
  <si>
    <t xml:space="preserve">https://github.com/ROS2swarm</t>
  </si>
  <si>
    <t xml:space="preserve">Companion repositories such as the Jackal simulation.</t>
  </si>
  <si>
    <t xml:space="preserve">D0101</t>
  </si>
  <si>
    <t xml:space="preserve">Buzz README and documentation index</t>
  </si>
  <si>
    <t xml:space="preserve">https://github.com/MISTLab/Buzz</t>
  </si>
  <si>
    <t xml:space="preserve">Links to concepts, virtual machine API, examples, and the design whitepaper.</t>
  </si>
  <si>
    <t xml:space="preserve">D0102</t>
  </si>
  <si>
    <t xml:space="preserve">Buzz: An Extensible Programming Language for Self-Organizing Heterogeneous Robot Swarms (arXiv 1507.05946)</t>
  </si>
  <si>
    <t xml:space="preserve">https://arxiv.org/abs/1507.05946</t>
  </si>
  <si>
    <t xml:space="preserve">Identifier from the report's source list.</t>
  </si>
  <si>
    <t xml:space="preserve">D0103</t>
  </si>
  <si>
    <t xml:space="preserve">ROSBuzz README</t>
  </si>
  <si>
    <t xml:space="preserve">https://github.com/MISTLab/ROSBuzz</t>
  </si>
  <si>
    <t xml:space="preserve">Buzz as a ROS node; cites the consensus paper (arXiv 1710.08843).</t>
  </si>
  <si>
    <t xml:space="preserve">D0104</t>
  </si>
  <si>
    <t xml:space="preserve">Buzz tutorial</t>
  </si>
  <si>
    <t xml:space="preserve">Tutorial</t>
  </si>
  <si>
    <t xml:space="preserve">https://mistlab.ca/buzztutorial/</t>
  </si>
  <si>
    <t xml:space="preserve">Tutorial overview of language primitives.</t>
  </si>
  <si>
    <t xml:space="preserve">D0105</t>
  </si>
  <si>
    <t xml:space="preserve">SwarmBox paper (FSE 2026, author copy)</t>
  </si>
  <si>
    <t xml:space="preserve">https://seulbae-security.github.io/pubs/swarmbox-fse26.pdf</t>
  </si>
  <si>
    <t xml:space="preserve">Architecture, swarm-level analyzer, synchronized log unification.</t>
  </si>
  <si>
    <t xml:space="preserve">D0106</t>
  </si>
  <si>
    <t xml:space="preserve">SwarmBox project page</t>
  </si>
  <si>
    <t xml:space="preserve">https://compsec.postech.ac.kr/swarmbox/</t>
  </si>
  <si>
    <t xml:space="preserve">Overview, links to code, documentation, slides.</t>
  </si>
  <si>
    <t xml:space="preserve">D0107</t>
  </si>
  <si>
    <t xml:space="preserve">SwarmBox README</t>
  </si>
  <si>
    <t xml:space="preserve">https://github.com/postech-compsec/swarmbox</t>
  </si>
  <si>
    <t xml:space="preserve">Detailed documentation announced as coming soon.</t>
  </si>
  <si>
    <t xml:space="preserve">D0108</t>
  </si>
  <si>
    <t xml:space="preserve">SwarmBox paper (ACM Digital Library)</t>
  </si>
  <si>
    <t xml:space="preserve">https://dl.acm.org/doi/10.1145/3808100</t>
  </si>
  <si>
    <t xml:space="preserve">Public or subscription (ACM)</t>
  </si>
  <si>
    <t xml:space="preserve">Publisher version.</t>
  </si>
  <si>
    <t xml:space="preserve">D0109</t>
  </si>
  <si>
    <t xml:space="preserve">SwarmBox artifact (Zenodo)</t>
  </si>
  <si>
    <t xml:space="preserve">Dataset and code archive</t>
  </si>
  <si>
    <t xml:space="preserve">https://zenodo.org/records/19344308</t>
  </si>
  <si>
    <t xml:space="preserve">Archive</t>
  </si>
  <si>
    <t xml:space="preserve">Frozen artifact for reproducing paper results.</t>
  </si>
  <si>
    <t xml:space="preserve">D0110</t>
  </si>
  <si>
    <t xml:space="preserve">Programming Multiple Robots with ROS 2 (the ROS 2 multi-robot book)</t>
  </si>
  <si>
    <t xml:space="preserve">https://osrf.github.io/ros2multirobotbook/</t>
  </si>
  <si>
    <t xml:space="preserve">Primary Open-RMF documentation; root from the report's source list, a sub-page was seen in search.</t>
  </si>
  <si>
    <t xml:space="preserve">D0111</t>
  </si>
  <si>
    <t xml:space="preserve">Open-RMF root repository README</t>
  </si>
  <si>
    <t xml:space="preserve">https://github.com/open-rmf/rmf</t>
  </si>
  <si>
    <t xml:space="preserve">Installation, supported distributions, fleet adapter starting points.</t>
  </si>
  <si>
    <t xml:space="preserve">D0112</t>
  </si>
  <si>
    <t xml:space="preserve">rmf_demos README</t>
  </si>
  <si>
    <t xml:space="preserve">https://github.com/open-rmf/rmf_demos</t>
  </si>
  <si>
    <t xml:space="preserve">Capabilities demonstrated: traffic, task allocation, lifts and doors, multi-fleet.</t>
  </si>
  <si>
    <t xml:space="preserve">D0113</t>
  </si>
  <si>
    <t xml:space="preserve">rmf_ros2 README</t>
  </si>
  <si>
    <t xml:space="preserve">https://github.com/open-rmf/rmf_ros2</t>
  </si>
  <si>
    <t xml:space="preserve">ROS 2 integration of the core algorithms, including fleet adapters.</t>
  </si>
  <si>
    <t xml:space="preserve">D0114</t>
  </si>
  <si>
    <t xml:space="preserve">OpenUxAS README</t>
  </si>
  <si>
    <t xml:space="preserve">https://github.com/afrl-rq/OpenUxAS</t>
  </si>
  <si>
    <t xml:space="preserve">Build, examples, tests including SPARK proofs. Commit activity as recent as April 2026, more active than the report states.</t>
  </si>
  <si>
    <t xml:space="preserve">D0115</t>
  </si>
  <si>
    <t xml:space="preserve">OpenUxAS-SoI README</t>
  </si>
  <si>
    <t xml:space="preserve">https://github.com/afrl-rq/OpenUxAS-SoI</t>
  </si>
  <si>
    <t xml:space="preserve">Older build instructions tying together OpenUxAS, LmcpGen, and OpenAMASE.</t>
  </si>
  <si>
    <t xml:space="preserve">D0116</t>
  </si>
  <si>
    <t xml:space="preserve">AFRL RQ GitHub organization</t>
  </si>
  <si>
    <t xml:space="preserve">https://github.com/afrl-rq</t>
  </si>
  <si>
    <t xml:space="preserve">Includes OpenUxAS_Models (formal models).</t>
  </si>
  <si>
    <t xml:space="preserve">D0117</t>
  </si>
  <si>
    <t xml:space="preserve">Skybrush Server README</t>
  </si>
  <si>
    <t xml:space="preserve">https://github.com/skybrush-io/skybrush-server</t>
  </si>
  <si>
    <t xml:space="preserve">Architecture: extension modules and drone abstraction layer.</t>
  </si>
  <si>
    <t xml:space="preserve">D0118</t>
  </si>
  <si>
    <t xml:space="preserve">Skybrush Server changelog</t>
  </si>
  <si>
    <t xml:space="preserve">https://github.com/skybrush-io/skybrush-server/blob/main/CHANGELOG.md</t>
  </si>
  <si>
    <t xml:space="preserve">Feature history, including MAVLink network extensions.</t>
  </si>
  <si>
    <t xml:space="preserve">D0119</t>
  </si>
  <si>
    <t xml:space="preserve">ap-swarm-launcher README</t>
  </si>
  <si>
    <t xml:space="preserve">https://github.com/skybrush-io/ap-swarm-launcher</t>
  </si>
  <si>
    <t xml:space="preserve">Multi-drone ArduPilot SITL launcher.</t>
  </si>
  <si>
    <t xml:space="preserve">D0120</t>
  </si>
  <si>
    <t xml:space="preserve">Skybrush GitHub repositories</t>
  </si>
  <si>
    <t xml:space="preserve">https://github.com/orgs/skybrush-io/repositories</t>
  </si>
  <si>
    <t xml:space="preserve">Live, Studio for Blender, mocap extensions.</t>
  </si>
  <si>
    <t xml:space="preserve">D0121</t>
  </si>
  <si>
    <t xml:space="preserve">QGroundControl documentation</t>
  </si>
  <si>
    <t xml:space="preserve">https://docs.qgroundcontrol.com/</t>
  </si>
  <si>
    <t xml:space="preserve">Ground control station for PX4 and ArduPilot.</t>
  </si>
  <si>
    <t xml:space="preserve">D0122</t>
  </si>
  <si>
    <t xml:space="preserve">QGroundControl README</t>
  </si>
  <si>
    <t xml:space="preserve">https://github.com/mavlink/qgroundcontrol</t>
  </si>
  <si>
    <t xml:space="preserve">D0123</t>
  </si>
  <si>
    <t xml:space="preserve">Mission Planner documentation</t>
  </si>
  <si>
    <t xml:space="preserve">https://ardupilot.org/planner/</t>
  </si>
  <si>
    <t xml:space="preserve">ArduPilot ground station.</t>
  </si>
  <si>
    <t xml:space="preserve">D0124</t>
  </si>
  <si>
    <t xml:space="preserve">Mission Planner README</t>
  </si>
  <si>
    <t xml:space="preserve">https://github.com/ArduPilot/MissionPlanner</t>
  </si>
  <si>
    <t xml:space="preserve">D0125</t>
  </si>
  <si>
    <t xml:space="preserve">OpenAMASE README</t>
  </si>
  <si>
    <t xml:space="preserve">https://github.com/afrl-rq/OpenAMASE</t>
  </si>
  <si>
    <t xml:space="preserve">Released under the Air Force Open Source Agreement 1.0 (the report says NASA agreement), which requires registering use by email.</t>
  </si>
  <si>
    <t xml:space="preserve">D0126</t>
  </si>
  <si>
    <t xml:space="preserve">OpenAMASE project folder (docs and LMCP)</t>
  </si>
  <si>
    <t xml:space="preserve">https://github.com/afrl-rq/OpenAMASE/tree/master/OpenAMASE</t>
  </si>
  <si>
    <t xml:space="preserve">Contains the doc folder on AMASE use and design.</t>
  </si>
  <si>
    <t xml:space="preserve">D0127</t>
  </si>
  <si>
    <t xml:space="preserve">Skybrush Studio for Blender repository</t>
  </si>
  <si>
    <t xml:space="preserve">https://github.com/skybrush-io/skybrush-studio-blender</t>
  </si>
  <si>
    <t xml:space="preserve">The Blender component relevant here: drone show design and validation.</t>
  </si>
  <si>
    <t xml:space="preserve">D0128</t>
  </si>
  <si>
    <t xml:space="preserve">Blender manual</t>
  </si>
  <si>
    <t xml:space="preserve">https://docs.blender.org/manual/en/latest/</t>
  </si>
  <si>
    <t xml:space="preserve">General Blender reference; low priority.</t>
  </si>
  <si>
    <t xml:space="preserve">D0129</t>
  </si>
  <si>
    <t xml:space="preserve">Gazebo documentation source</t>
  </si>
  <si>
    <t xml:space="preserve">https://github.com/gazebosim/docs</t>
  </si>
  <si>
    <t xml:space="preserve">Markdown for gazebosim.org/docs per version folder; seen via file paths in this repository and forks.</t>
  </si>
  <si>
    <t xml:space="preserve">D0130</t>
  </si>
  <si>
    <t xml:space="preserve">Gazebo Harmonic feature comparison with Gazebo Classic</t>
  </si>
  <si>
    <t xml:space="preserve">https://github.com/gazebosim/docs/blob/master/harmonic/comparison.md</t>
  </si>
  <si>
    <t xml:space="preserve">Plugin architecture, ROS integration, state access.</t>
  </si>
  <si>
    <t xml:space="preserve">D0131</t>
  </si>
  <si>
    <t xml:space="preserve">gz-harmonic collection README</t>
  </si>
  <si>
    <t xml:space="preserve">https://github.com/gazebosim/gz-harmonic</t>
  </si>
  <si>
    <t xml:space="preserve">Which library versions make up Harmonic.</t>
  </si>
  <si>
    <t xml:space="preserve">D0132</t>
  </si>
  <si>
    <t xml:space="preserve">Gazebo documentation site</t>
  </si>
  <si>
    <t xml:space="preserve">https://gazebosim.org/docs/</t>
  </si>
  <si>
    <t xml:space="preserve">Rendered version of the docs repository plus per-library API docs.</t>
  </si>
  <si>
    <t xml:space="preserve">D0133</t>
  </si>
  <si>
    <t xml:space="preserve">argos3 README</t>
  </si>
  <si>
    <t xml:space="preserve">https://github.com/ilpincy/argos3</t>
  </si>
  <si>
    <t xml:space="preserve">Build, license (MIT from version 3), features.</t>
  </si>
  <si>
    <t xml:space="preserve">D0134</t>
  </si>
  <si>
    <t xml:space="preserve">ARGoS: a modular, parallel, multi-engine simulator for multi-robot systems (Swarm Intelligence, 2012)</t>
  </si>
  <si>
    <t xml:space="preserve">https://link.springer.com/article/10.1007/s11721-012-0072-5</t>
  </si>
  <si>
    <t xml:space="preserve">Subscription (Springer)</t>
  </si>
  <si>
    <t xml:space="preserve">Definitive paper; look for an author copy.</t>
  </si>
  <si>
    <t xml:space="preserve">D0135</t>
  </si>
  <si>
    <t xml:space="preserve">ARGoS project site</t>
  </si>
  <si>
    <t xml:space="preserve">https://www.argos-sim.info</t>
  </si>
  <si>
    <t xml:space="preserve">Documentation and examples; from the report's source list.</t>
  </si>
  <si>
    <t xml:space="preserve">D0136</t>
  </si>
  <si>
    <t xml:space="preserve">Isaac Sim documentation (latest)</t>
  </si>
  <si>
    <t xml:space="preserve">https://docs.isaacsim.omniverse.nvidia.com/latest/</t>
  </si>
  <si>
    <t xml:space="preserve">Full documentation; the 6.0 early-release docs are marked incomplete. Restrict crawl to one version.</t>
  </si>
  <si>
    <t xml:space="preserve">D0137</t>
  </si>
  <si>
    <t xml:space="preserve">Isaac Sim README</t>
  </si>
  <si>
    <t xml:space="preserve">https://github.com/isaac-sim/IsaacSim</t>
  </si>
  <si>
    <t xml:space="preserve">Build from source, packaging, licensing notes.</t>
  </si>
  <si>
    <t xml:space="preserve">D0138</t>
  </si>
  <si>
    <t xml:space="preserve">Announcing general availability of Isaac Sim 5.0 and Isaac Lab 2.2</t>
  </si>
  <si>
    <t xml:space="preserve">Technical blog</t>
  </si>
  <si>
    <t xml:space="preserve">https://developer.nvidia.com/blog/announcing-general-availability-for-nvidia-isaac-sim-5-0-and-nvidia-isaac-lab-2-2</t>
  </si>
  <si>
    <t xml:space="preserve">Open-source release scope (Omniverse Kit parts remain closed), NuRec, synthetic data.</t>
  </si>
  <si>
    <t xml:space="preserve">D0139</t>
  </si>
  <si>
    <t xml:space="preserve">Isaac Sim 6.0.1 release notes</t>
  </si>
  <si>
    <t xml:space="preserve">https://docs.isaacsim.omniverse.nvidia.com/6.0.1/overview/release_notes.html</t>
  </si>
  <si>
    <t xml:space="preserve">Current-version changes, including ROS 2 and NuRec fixes.</t>
  </si>
  <si>
    <t xml:space="preserve">D0140</t>
  </si>
  <si>
    <t xml:space="preserve">Developers build fast and reliable robot simulations with Omniverse libraries</t>
  </si>
  <si>
    <t xml:space="preserve">https://developer.nvidia.com/blog/developers-build-fast-and-reliable-robot-simulations-with-nvidia-omniverse-libraries/</t>
  </si>
  <si>
    <t xml:space="preserve">OpenUSD schemas, joint friction model, related library releases.</t>
  </si>
  <si>
    <t xml:space="preserve">D0141</t>
  </si>
  <si>
    <t xml:space="preserve">Isaac Sim GitHub releases</t>
  </si>
  <si>
    <t xml:space="preserve">https://github.com/isaac-sim/IsaacSim/releases</t>
  </si>
  <si>
    <t xml:space="preserve">Per-release notes; useful for version history.</t>
  </si>
  <si>
    <t xml:space="preserve">D0142</t>
  </si>
  <si>
    <t xml:space="preserve">Pegasus Simulator README</t>
  </si>
  <si>
    <t xml:space="preserve">https://github.com/PegasusSimulator/PegasusSimulator</t>
  </si>
  <si>
    <t xml:space="preserve">PX4 and experimental ArduPilot interfaces; version compatibility table (v5.1.0 targets Isaac Sim 5.1, so 6.0 support is unconfirmed).</t>
  </si>
  <si>
    <t xml:space="preserve">D0143</t>
  </si>
  <si>
    <t xml:space="preserve">Pegasus Simulator documentation</t>
  </si>
  <si>
    <t xml:space="preserve">https://pegasussimulator.github.io/PegasusSimulator/</t>
  </si>
  <si>
    <t xml:space="preserve">Installation, PX4 integration, multi-vehicle examples.</t>
  </si>
  <si>
    <t xml:space="preserve">D0144</t>
  </si>
  <si>
    <t xml:space="preserve">Pegasus Simulator: An Isaac Sim Framework for Multiple Aerial Vehicles Simulation (arXiv 2307.05263)</t>
  </si>
  <si>
    <t xml:space="preserve">https://arxiv.org/abs/2307.05263</t>
  </si>
  <si>
    <t xml:space="preserve">ICUAS 2024 paper; identifier from the report's source list.</t>
  </si>
  <si>
    <t xml:space="preserve">D0145</t>
  </si>
  <si>
    <t xml:space="preserve">Aerostack2 with Pegasus and Isaac Sim example project</t>
  </si>
  <si>
    <t xml:space="preserve">https://github.com/aerostack2/project_pegasus_isaac_sim</t>
  </si>
  <si>
    <t xml:space="preserve">Worked integration of Aerostack2, Pegasus, PX4, and ROS 2.</t>
  </si>
  <si>
    <t xml:space="preserve">D0146</t>
  </si>
  <si>
    <t xml:space="preserve">Announcing general availability of Isaac Sim 5.0 (NuRec section)</t>
  </si>
  <si>
    <t xml:space="preserve">Describes NuRec and the 3DGUT tool for turning images into Isaac Sim scenes.</t>
  </si>
  <si>
    <t xml:space="preserve">D0147</t>
  </si>
  <si>
    <t xml:space="preserve">Isaac Sim 6.0.1 release notes (NuRec fixes)</t>
  </si>
  <si>
    <t xml:space="preserve">Current NuRec workflow changes.</t>
  </si>
  <si>
    <t xml:space="preserve">D0148</t>
  </si>
  <si>
    <t xml:space="preserve">Newton README</t>
  </si>
  <si>
    <t xml:space="preserve">https://github.com/newton-physics/newton</t>
  </si>
  <si>
    <t xml:space="preserve">Apache-2.0 code, Linux Foundation project started by Disney Research, Google DeepMind, and NVIDIA.</t>
  </si>
  <si>
    <t xml:space="preserve">D0149</t>
  </si>
  <si>
    <t xml:space="preserve">Newton documentation: overview</t>
  </si>
  <si>
    <t xml:space="preserve">https://newton-physics.github.io/newton/stable/guide/overview.html</t>
  </si>
  <si>
    <t xml:space="preserve">Solvers (XPBD, VBD, MuJoCo, Featherstone), sensors, importers; crawl the stable version.</t>
  </si>
  <si>
    <t xml:space="preserve">D0150</t>
  </si>
  <si>
    <t xml:space="preserve">Newton Physics product page (NVIDIA)</t>
  </si>
  <si>
    <t xml:space="preserve">https://developer.nvidia.com/newton-physics</t>
  </si>
  <si>
    <t xml:space="preserve">Relationship to Warp, OpenUSD, MuJoCo Warp, Isaac Lab.</t>
  </si>
  <si>
    <t xml:space="preserve">D0151</t>
  </si>
  <si>
    <t xml:space="preserve">Warp README</t>
  </si>
  <si>
    <t xml:space="preserve">https://github.com/NVIDIA/warp</t>
  </si>
  <si>
    <t xml:space="preserve">GPU simulation framework under Newton.</t>
  </si>
  <si>
    <t xml:space="preserve">D0152</t>
  </si>
  <si>
    <t xml:space="preserve">Warp documentation</t>
  </si>
  <si>
    <t xml:space="preserve">https://nvidia.github.io/warp/</t>
  </si>
  <si>
    <t xml:space="preserve">API and concepts.</t>
  </si>
  <si>
    <t xml:space="preserve">D0153</t>
  </si>
  <si>
    <t xml:space="preserve">MuJoCo README</t>
  </si>
  <si>
    <t xml:space="preserve">https://github.com/google-deepmind/mujoco</t>
  </si>
  <si>
    <t xml:space="preserve">Physics engine used as a Newton solver.</t>
  </si>
  <si>
    <t xml:space="preserve">D0154</t>
  </si>
  <si>
    <t xml:space="preserve">MuJoCo documentation</t>
  </si>
  <si>
    <t xml:space="preserve">https://mujoco.readthedocs.io/</t>
  </si>
  <si>
    <t xml:space="preserve">Modeling, computation, programming guides.</t>
  </si>
  <si>
    <t xml:space="preserve">D0155</t>
  </si>
  <si>
    <t xml:space="preserve">OpenUSD documentation</t>
  </si>
  <si>
    <t xml:space="preserve">https://openusd.org/</t>
  </si>
  <si>
    <t xml:space="preserve">Scene description format underlying Isaac Sim.</t>
  </si>
  <si>
    <t xml:space="preserve">D0156</t>
  </si>
  <si>
    <t xml:space="preserve">OpenUSD README</t>
  </si>
  <si>
    <t xml:space="preserve">https://github.com/PixarAnimationStudios/OpenUSD</t>
  </si>
  <si>
    <t xml:space="preserve">D0157</t>
  </si>
  <si>
    <t xml:space="preserve">Open 3D Engine documentation</t>
  </si>
  <si>
    <t xml:space="preserve">https://o3de.org/docs/</t>
  </si>
  <si>
    <t xml:space="preserve">Low priority for the swarm work; listed as a participant in the simulation-interfaces standard.</t>
  </si>
  <si>
    <t xml:space="preserve">D0158</t>
  </si>
  <si>
    <t xml:space="preserve">simulation_interfaces repository</t>
  </si>
  <si>
    <t xml:space="preserve">https://github.com/ros-simulation/simulation_interfaces</t>
  </si>
  <si>
    <t xml:space="preserve">Standard ROS 2 interfaces shared by Gazebo, Isaac Sim, and Open 3D Engine.</t>
  </si>
  <si>
    <t xml:space="preserve">D0159</t>
  </si>
  <si>
    <t xml:space="preserve">AirSim README (archived)</t>
  </si>
  <si>
    <t xml:space="preserve">https://github.com/microsoft/AirSim</t>
  </si>
  <si>
    <t xml:space="preserve">Archive notice and pointer to Project AirSim.</t>
  </si>
  <si>
    <t xml:space="preserve">D0160</t>
  </si>
  <si>
    <t xml:space="preserve">AirSim: High-Fidelity Visual and Physical Simulation for Autonomous Vehicles (arXiv 1705.05065)</t>
  </si>
  <si>
    <t xml:space="preserve">https://arxiv.org/abs/1705.05065</t>
  </si>
  <si>
    <t xml:space="preserve">Original paper; identifier from citations in fork READMEs.</t>
  </si>
  <si>
    <t xml:space="preserve">D0161</t>
  </si>
  <si>
    <t xml:space="preserve">AirSim documentation site</t>
  </si>
  <si>
    <t xml:space="preserve">https://microsoft.github.io/AirSim/</t>
  </si>
  <si>
    <t xml:space="preserve">Legacy documentation still used by the forks.</t>
  </si>
  <si>
    <t xml:space="preserve">D0162</t>
  </si>
  <si>
    <t xml:space="preserve">Project AirSim README</t>
  </si>
  <si>
    <t xml:space="preserve">https://github.com/iamaisim/ProjectAirSim</t>
  </si>
  <si>
    <t xml:space="preserve">Open-sourced by Microsoft and IAMAI under MIT as part of a DARPA-supported effort; supports Unreal Engine 5.2 and 5.7.</t>
  </si>
  <si>
    <t xml:space="preserve">D0163</t>
  </si>
  <si>
    <t xml:space="preserve">Project AirSim releases</t>
  </si>
  <si>
    <t xml:space="preserve">https://github.com/iamaisim/ProjectAirSim/releases</t>
  </si>
  <si>
    <t xml:space="preserve">Packaged simulation builds.</t>
  </si>
  <si>
    <t xml:space="preserve">D0164</t>
  </si>
  <si>
    <t xml:space="preserve">Project AirSim open-source announcement (AirSim issue 5025)</t>
  </si>
  <si>
    <t xml:space="preserve">Announcement</t>
  </si>
  <si>
    <t xml:space="preserve">https://github.com/microsoft/AirSim/issues/5025</t>
  </si>
  <si>
    <t xml:space="preserve">Context on the release.</t>
  </si>
  <si>
    <t xml:space="preserve">D0165</t>
  </si>
  <si>
    <t xml:space="preserve">https://github.com/Cosys-Lab/Cosys-AirSim/blob/main/README.md</t>
  </si>
  <si>
    <t xml:space="preserve">Says the repository is provided as is and will not be actively updated, which conflicts with the report's 'living fork' status.</t>
  </si>
  <si>
    <t xml:space="preserve">D0166</t>
  </si>
  <si>
    <t xml:space="preserve">Cosys-AirSim documentation</t>
  </si>
  <si>
    <t xml:space="preserve">https://cosys-lab.github.io/Cosys-AirSim/</t>
  </si>
  <si>
    <t xml:space="preserve">Sensor models including GPU lidar and echo sensors.</t>
  </si>
  <si>
    <t xml:space="preserve">D0167</t>
  </si>
  <si>
    <t xml:space="preserve">Cosys-AirSim changelog</t>
  </si>
  <si>
    <t xml:space="preserve">https://github.com/Cosys-Lab/Cosys-AirSim/blob/main/CHANGELOG.md</t>
  </si>
  <si>
    <t xml:space="preserve">Feature history including ROS 2 wrapper.</t>
  </si>
  <si>
    <t xml:space="preserve">D0168</t>
  </si>
  <si>
    <t xml:space="preserve">Colosseum README (archived)</t>
  </si>
  <si>
    <t xml:space="preserve">https://github.com/CodexLabsLLC/Colosseum/blob/main/README.md</t>
  </si>
  <si>
    <t xml:space="preserve">Archived 11 July 2026; describes its role under the SWARM Simulation Platform.</t>
  </si>
  <si>
    <t xml:space="preserve">D0169</t>
  </si>
  <si>
    <t xml:space="preserve">Colosseum releases</t>
  </si>
  <si>
    <t xml:space="preserve">https://github.com/CodexLabsLLC/Colosseum/releases</t>
  </si>
  <si>
    <t xml:space="preserve">Last releases added Unreal Engine 5.4+ and Ubuntu 24.04 support.</t>
  </si>
  <si>
    <t xml:space="preserve">D0170</t>
  </si>
  <si>
    <t xml:space="preserve">SwarmSim site</t>
  </si>
  <si>
    <t xml:space="preserve">https://swarmsim.io</t>
  </si>
  <si>
    <t xml:space="preserve">Login required</t>
  </si>
  <si>
    <t xml:space="preserve">Report notes the site is a login page.</t>
  </si>
  <si>
    <t xml:space="preserve">D0171</t>
  </si>
  <si>
    <t xml:space="preserve">Purdue ICON swarm simulation platforms page</t>
  </si>
  <si>
    <t xml:space="preserve">Program page</t>
  </si>
  <si>
    <t xml:space="preserve">https://engineering.purdue.edu/OPP/ICON/Research/Demos/swarm-simulation-platforms</t>
  </si>
  <si>
    <t xml:space="preserve">Only public description of the benchmark scenarios.</t>
  </si>
  <si>
    <t xml:space="preserve">D0172</t>
  </si>
  <si>
    <t xml:space="preserve">Unreal Engine documentation</t>
  </si>
  <si>
    <t xml:space="preserve">https://dev.epicgames.com/documentation/en-us/unreal-engine</t>
  </si>
  <si>
    <t xml:space="preserve">Very large; scrape only if AirSim-family work goes ahead.</t>
  </si>
  <si>
    <t xml:space="preserve">D0173</t>
  </si>
  <si>
    <t xml:space="preserve">Webots README</t>
  </si>
  <si>
    <t xml:space="preserve">https://github.com/cyberbotics/webots/blob/master/README.md</t>
  </si>
  <si>
    <t xml:space="preserve">Apache-2.0 license (the report left the license blank).</t>
  </si>
  <si>
    <t xml:space="preserve">D0174</t>
  </si>
  <si>
    <t xml:space="preserve">Webots documentation source (User Guide and Reference Manual)</t>
  </si>
  <si>
    <t xml:space="preserve">https://github.com/cyberbotics/webots/tree/master/docs</t>
  </si>
  <si>
    <t xml:space="preserve">Markdown source of cyberbotics.com/doc; path from the guide folder seen in search.</t>
  </si>
  <si>
    <t xml:space="preserve">D0175</t>
  </si>
  <si>
    <t xml:space="preserve">Webots tutorials</t>
  </si>
  <si>
    <t xml:space="preserve">https://cyberbotics.com/doc/guide/tutorials</t>
  </si>
  <si>
    <t xml:space="preserve">Rendered tutorials.</t>
  </si>
  <si>
    <t xml:space="preserve">D0176</t>
  </si>
  <si>
    <t xml:space="preserve">CoppeliaSim user manual</t>
  </si>
  <si>
    <t xml:space="preserve">https://manual.coppeliarobotics.com/</t>
  </si>
  <si>
    <t xml:space="preserve">Not searched this session.</t>
  </si>
  <si>
    <t xml:space="preserve">D0177</t>
  </si>
  <si>
    <t xml:space="preserve">VRX README</t>
  </si>
  <si>
    <t xml:space="preserve">https://github.com/osrf/vrx</t>
  </si>
  <si>
    <t xml:space="preserve">Now runs on Gazebo Harmonic and ROS 2 Jazzy.</t>
  </si>
  <si>
    <t xml:space="preserve">D0178</t>
  </si>
  <si>
    <t xml:space="preserve">VRX wiki</t>
  </si>
  <si>
    <t xml:space="preserve">https://github.com/osrf/vrx/wiki</t>
  </si>
  <si>
    <t xml:space="preserve">GitHub wiki clone</t>
  </si>
  <si>
    <t xml:space="preserve">Tutorials and competition technical guides.</t>
  </si>
  <si>
    <t xml:space="preserve">D0179</t>
  </si>
  <si>
    <t xml:space="preserve">Toward Maritime Robotic Simulation in Gazebo (OCEANS 2019)</t>
  </si>
  <si>
    <t xml:space="preserve">https://github.com/osrf/vrx/files/4731857/PID6131719.pdf</t>
  </si>
  <si>
    <t xml:space="preserve">Wave, wind, buoyancy, and vessel models.</t>
  </si>
  <si>
    <t xml:space="preserve">D0180</t>
  </si>
  <si>
    <t xml:space="preserve">Stonefish README</t>
  </si>
  <si>
    <t xml:space="preserve">https://github.com/patrykcieslak/stonefish</t>
  </si>
  <si>
    <t xml:space="preserve">Geometry-based hydrodynamics, underwater rendering, acoustic modem and USBL devices.</t>
  </si>
  <si>
    <t xml:space="preserve">D0181</t>
  </si>
  <si>
    <t xml:space="preserve">Stonefish documentation</t>
  </si>
  <si>
    <t xml:space="preserve">https://stonefish.readthedocs.io/</t>
  </si>
  <si>
    <t xml:space="preserve">Library documentation, including communication devices.</t>
  </si>
  <si>
    <t xml:space="preserve">D0182</t>
  </si>
  <si>
    <t xml:space="preserve">Stonefish: Supporting Machine Learning Research in Marine Robotics (arXiv 2502.11887)</t>
  </si>
  <si>
    <t xml:space="preserve">https://arxiv.org/abs/2502.11887</t>
  </si>
  <si>
    <t xml:space="preserve">ICRA 2025 update; also compares HoloOcean.</t>
  </si>
  <si>
    <t xml:space="preserve">D0183</t>
  </si>
  <si>
    <t xml:space="preserve">HoloOcean 2.0.0 documentation</t>
  </si>
  <si>
    <t xml:space="preserve">https://byu-holoocean.github.io/holoocean-docs/v2.0.0/index.html</t>
  </si>
  <si>
    <t xml:space="preserve">Unreal-based underwater simulator with multi-agent communications and sonar; lists citation papers.</t>
  </si>
  <si>
    <t xml:space="preserve">D0184</t>
  </si>
  <si>
    <t xml:space="preserve">MRS multirotor simulator README</t>
  </si>
  <si>
    <t xml:space="preserve">https://github.com/ctu-mrs/mrs_multirotor_simulator</t>
  </si>
  <si>
    <t xml:space="preserve">D0185</t>
  </si>
  <si>
    <t xml:space="preserve">SwarmLab README</t>
  </si>
  <si>
    <t xml:space="preserve">https://github.com/lis-epfl/swarmlab</t>
  </si>
  <si>
    <t xml:space="preserve">MATLAB drone swarm simulator; not searched this session.</t>
  </si>
  <si>
    <t xml:space="preserve">D0186</t>
  </si>
  <si>
    <t xml:space="preserve">Robotarium site</t>
  </si>
  <si>
    <t xml:space="preserve">https://www.robotarium.gatech.edu/</t>
  </si>
  <si>
    <t xml:space="preserve">Remote-access testbed; not searched this session.</t>
  </si>
  <si>
    <t xml:space="preserve">D0187</t>
  </si>
  <si>
    <t xml:space="preserve">JaxRobotarium: Training and Deploying Multi-Robot Policies in 10 Minutes (arXiv 2505.06771)</t>
  </si>
  <si>
    <t xml:space="preserve">https://arxiv.org/abs/2505.06771</t>
  </si>
  <si>
    <t xml:space="preserve">GPU-accelerated Robotarium simulator and benchmark; successor to MARBLER.</t>
  </si>
  <si>
    <t xml:space="preserve">D0188</t>
  </si>
  <si>
    <t xml:space="preserve">ns-3 Model Library (single-page HTML)</t>
  </si>
  <si>
    <t xml:space="preserve">https://www.nsnam.org/docs/models/singlehtml/</t>
  </si>
  <si>
    <t xml:space="preserve">Web page (very large)</t>
  </si>
  <si>
    <t xml:space="preserve">Entire model library on one page, including mobility, propagation, Wi-Fi, mesh, OLSR, and emulation. Best single scrape target.</t>
  </si>
  <si>
    <t xml:space="preserve">D0189</t>
  </si>
  <si>
    <t xml:space="preserve">ns-3 Manual</t>
  </si>
  <si>
    <t xml:space="preserve">https://www.nsnam.org/docs/manual/html/index.html</t>
  </si>
  <si>
    <t xml:space="preserve">Simulator core: events, object model, real-time scheduling, tracing.</t>
  </si>
  <si>
    <t xml:space="preserve">D0190</t>
  </si>
  <si>
    <t xml:space="preserve">ns-3 documentation hub</t>
  </si>
  <si>
    <t xml:space="preserve">Documentation index</t>
  </si>
  <si>
    <t xml:space="preserve">https://www.nsnam.org/documentation/</t>
  </si>
  <si>
    <t xml:space="preserve">Links to tutorial, installation guide, manual, model library, API reference, and technical reports.</t>
  </si>
  <si>
    <t xml:space="preserve">D0191</t>
  </si>
  <si>
    <t xml:space="preserve">ns-3 Model Library (multi-page index)</t>
  </si>
  <si>
    <t xml:space="preserve">https://www.nsnam.org/docs/models/html/</t>
  </si>
  <si>
    <t xml:space="preserve">Same content as the single-page version; use only if chunk-per-chapter is preferred.</t>
  </si>
  <si>
    <t xml:space="preserve">D0192</t>
  </si>
  <si>
    <t xml:space="preserve">CyberVAN overview data sheet (Peraton Labs)</t>
  </si>
  <si>
    <t xml:space="preserve">Data sheet</t>
  </si>
  <si>
    <t xml:space="preserve">https://www.peratonlabs.com/uploads/1/3/4/9/134979869/cybervan_cyber_range_ov.pdf</t>
  </si>
  <si>
    <t xml:space="preserve">Transparent forwarding, TimeSync, scenario design and management tools.</t>
  </si>
  <si>
    <t xml:space="preserve">D0193</t>
  </si>
  <si>
    <t xml:space="preserve">CyberVAN: A Cyber Security Virtual Assured Network Testbed (IEEE MILCOM 2016)</t>
  </si>
  <si>
    <t xml:space="preserve">https://ieeexplore.ieee.org/iel7/7784513/7795145/07795481.pdf</t>
  </si>
  <si>
    <t xml:space="preserve">Subscription (IEEE)</t>
  </si>
  <si>
    <t xml:space="preserve">Foundational paper. Needs IEEE access; an author copy may be available internally.</t>
  </si>
  <si>
    <t xml:space="preserve">D0194</t>
  </si>
  <si>
    <t xml:space="preserve">CyberVAN: high-fidelity cyber range (Peraton Labs)</t>
  </si>
  <si>
    <t xml:space="preserve">https://www.peratonlabs.com/cybervan-high-fidelity-cyber-range.html</t>
  </si>
  <si>
    <t xml:space="preserve">States ns-3 and EMANE model support and synthetic users.</t>
  </si>
  <si>
    <t xml:space="preserve">D0195</t>
  </si>
  <si>
    <t xml:space="preserve">CyberVAN capability page (Peraton)</t>
  </si>
  <si>
    <t xml:space="preserve">https://www.peraton.com/capabilities/engineering/cybervan</t>
  </si>
  <si>
    <t xml:space="preserve">Official overview: discrete-event network simulation with virtual-machine hosts, data collection, cyber effects.</t>
  </si>
  <si>
    <t xml:space="preserve">D0196</t>
  </si>
  <si>
    <t xml:space="preserve">CyberVAN user and developer guides (internal)</t>
  </si>
  <si>
    <t xml:space="preserve">(internal to Peraton Labs)</t>
  </si>
  <si>
    <t xml:space="preserve">Various</t>
  </si>
  <si>
    <t xml:space="preserve">Internal</t>
  </si>
  <si>
    <t xml:space="preserve">Not a public document</t>
  </si>
  <si>
    <t xml:space="preserve">Likely the most useful source for the live-mobility-feed and ns-3-extension questions in the report; collect through internal channels.</t>
  </si>
  <si>
    <t xml:space="preserve">D0197</t>
  </si>
  <si>
    <t xml:space="preserve">CyberVAN product page (Peraton Labs)</t>
  </si>
  <si>
    <t xml:space="preserve">https://www.peratonlabs.com/cybervan.html</t>
  </si>
  <si>
    <t xml:space="preserve">Shorter product summary.</t>
  </si>
  <si>
    <t xml:space="preserve">D0198</t>
  </si>
  <si>
    <t xml:space="preserve">CyberVAN: A Digital Twin for Enhanced Cyber Readiness</t>
  </si>
  <si>
    <t xml:space="preserve">News article</t>
  </si>
  <si>
    <t xml:space="preserve">https://www.peraton.com/news/cybervan-a-digital-twin-for-enhanced-cyber-readiness</t>
  </si>
  <si>
    <t xml:space="preserve">History, waveform support, CyberVAN for Space.</t>
  </si>
  <si>
    <t xml:space="preserve">D0199</t>
  </si>
  <si>
    <t xml:space="preserve">CyberVAN for Space white paper</t>
  </si>
  <si>
    <t xml:space="preserve">White paper</t>
  </si>
  <si>
    <t xml:space="preserve">https://www.peraton.com/wp-content/uploads/CyberVanForSpace_WP_digital.pdf</t>
  </si>
  <si>
    <t xml:space="preserve">Extension to space networks; restates the core architecture.</t>
  </si>
  <si>
    <t xml:space="preserve">D0200</t>
  </si>
  <si>
    <t xml:space="preserve">CyberVAN testbed portal overview</t>
  </si>
  <si>
    <t xml:space="preserve">https://cybervan.peratonlabs.com:9000/welcome</t>
  </si>
  <si>
    <t xml:space="preserve">Public page on testbed portal</t>
  </si>
  <si>
    <t xml:space="preserve">Portal description of TimeSync and scenario tools; deeper pages likely require an account.</t>
  </si>
  <si>
    <t xml:space="preserve">D0201</t>
  </si>
  <si>
    <t xml:space="preserve">CyberVAN publications list</t>
  </si>
  <si>
    <t xml:space="preserve">Reference list</t>
  </si>
  <si>
    <t xml:space="preserve">https://cybervan.peratonlabs.com:9000/publications</t>
  </si>
  <si>
    <t xml:space="preserve">Bibliography of CyberVAN papers; use it to seed further paper collection.</t>
  </si>
  <si>
    <t xml:space="preserve">D0202</t>
  </si>
  <si>
    <t xml:space="preserve">Peraton Labs lightning talk, IARPA ReSCIND Proposers' Day</t>
  </si>
  <si>
    <t xml:space="preserve">Presentation</t>
  </si>
  <si>
    <t xml:space="preserve">https://www.iarpa.gov/images/PropsersDayPDFs/ReSCIND/L06_-_Lightening_Talk_-_Peraton_Labs_-_RC.pdf</t>
  </si>
  <si>
    <t xml:space="preserve">Summarizes CyberVAN-related tools such as VulnerVAN, with references.</t>
  </si>
  <si>
    <t xml:space="preserve">D0203</t>
  </si>
  <si>
    <t xml:space="preserve">EMANE Guide</t>
  </si>
  <si>
    <t xml:space="preserve">https://github.com/adjacentlink/emane-guide</t>
  </si>
  <si>
    <t xml:space="preserve">Sequential guide with examples; recommended starting point.</t>
  </si>
  <si>
    <t xml:space="preserve">D0204</t>
  </si>
  <si>
    <t xml:space="preserve">EMANE wiki home</t>
  </si>
  <si>
    <t xml:space="preserve">https://github.com/adjacentlink/emane/wiki</t>
  </si>
  <si>
    <t xml:space="preserve">Radio models, physical layer, events, developer documentation.</t>
  </si>
  <si>
    <t xml:space="preserve">D0205</t>
  </si>
  <si>
    <t xml:space="preserve">EMANE wiki: Introduction</t>
  </si>
  <si>
    <t xml:space="preserve">https://github.com/adjacentlink/emane/wiki/Introduction</t>
  </si>
  <si>
    <t xml:space="preserve">Architecture: network emulation modules and over-the-air channel.</t>
  </si>
  <si>
    <t xml:space="preserve">D0206</t>
  </si>
  <si>
    <t xml:space="preserve">CORE and EMANE integration documentation</t>
  </si>
  <si>
    <t xml:space="preserve">https://coreemu.github.io/core/emane.html</t>
  </si>
  <si>
    <t xml:space="preserve">How CORE (layers 3 and up) pairs with EMANE (layers 1–2).</t>
  </si>
  <si>
    <t xml:space="preserve">D0207</t>
  </si>
  <si>
    <t xml:space="preserve">CORE documentation source</t>
  </si>
  <si>
    <t xml:space="preserve">https://github.com/coreemu/core/blob/master/docs/emane.md</t>
  </si>
  <si>
    <t xml:space="preserve">Docs folder of the CORE repository; clone docs/ for the full set.</t>
  </si>
  <si>
    <t xml:space="preserve">D0208</t>
  </si>
  <si>
    <t xml:space="preserve">Sionna README</t>
  </si>
  <si>
    <t xml:space="preserve">https://github.com/NVlabs/sionna</t>
  </si>
  <si>
    <t xml:space="preserve">Found during the Sionna RT pilot. Describes the RT, PHY (link-level), and SYS (system-level) packages.</t>
  </si>
  <si>
    <t xml:space="preserve">D0209</t>
  </si>
  <si>
    <t xml:space="preserve">Sionna documentation home</t>
  </si>
  <si>
    <t xml:space="preserve">https://nvlabs.github.io/sionna/</t>
  </si>
  <si>
    <t xml:space="preserve">Found during the Sionna RT pilot. Crawl excluding /rt if Sionna RT is scraped separately.</t>
  </si>
  <si>
    <t xml:space="preserve">D0210</t>
  </si>
  <si>
    <t xml:space="preserve">Sionna RT documentation</t>
  </si>
  <si>
    <t xml:space="preserve">https://nvlabs.github.io/sionna/rt</t>
  </si>
  <si>
    <t xml:space="preserve">Electromagnetics primer, API, tutorials, developer guides, and a link to the technical report on its algorithms.</t>
  </si>
  <si>
    <t xml:space="preserve">D0211</t>
  </si>
  <si>
    <t xml:space="preserve">Toward Digital Network Twins: Integrating Sionna RT in ns-3 (arXiv 2501.00372)</t>
  </si>
  <si>
    <t xml:space="preserve">https://arxiv.org/abs/2501.00372</t>
  </si>
  <si>
    <t xml:space="preserve">The ns-3 integration over a UDP socket; vehicular results. Directly relevant to the CyberVAN channel-model idea.</t>
  </si>
  <si>
    <t xml:space="preserve">D0212</t>
  </si>
  <si>
    <t xml:space="preserve">Sionna RT README</t>
  </si>
  <si>
    <t xml:space="preserve">https://github.com/NVlabs/sionna-rt</t>
  </si>
  <si>
    <t xml:space="preserve">Stand-alone ray tracer built on Mitsuba 3 and Dr.Jit; install and development notes.</t>
  </si>
  <si>
    <t xml:space="preserve">D0213</t>
  </si>
  <si>
    <t xml:space="preserve">Ns3 meets Sionna: Using realistic channels in network simulation (arXiv 2412.20524)</t>
  </si>
  <si>
    <t xml:space="preserve">https://arxiv.org/abs/2412.20524</t>
  </si>
  <si>
    <t xml:space="preserve">Second published ns-3 integration; identifier taken from a citation in the search results.</t>
  </si>
  <si>
    <t xml:space="preserve">D0214</t>
  </si>
  <si>
    <t xml:space="preserve">Sionna RT releases</t>
  </si>
  <si>
    <t xml:space="preserve">https://github.com/NVlabs/sionna-rt/releases</t>
  </si>
  <si>
    <t xml:space="preserve">Documents the rewrite on Dr.Jit and Mitsuba 3 and later feature additions.</t>
  </si>
  <si>
    <t xml:space="preserve">D0215</t>
  </si>
  <si>
    <t xml:space="preserve">ns-3 with Sionna RT channel model (fork)</t>
  </si>
  <si>
    <t xml:space="preserve">https://github.com/MinaYonan123/ns3-rt-ric-taap</t>
  </si>
  <si>
    <t xml:space="preserve">A fork of the integration code; locate the upstream repository before relying on it.</t>
  </si>
  <si>
    <t xml:space="preserve">D0216</t>
  </si>
  <si>
    <t xml:space="preserve">Sionna RT: Differentiable Ray Tracing (paper code)</t>
  </si>
  <si>
    <t xml:space="preserve">https://github.com/NVlabs/diff-rt</t>
  </si>
  <si>
    <t xml:space="preserve">Reproduction code for the original differentiable ray-tracing paper; README links the paper.</t>
  </si>
  <si>
    <t xml:space="preserve">D0217</t>
  </si>
  <si>
    <t xml:space="preserve">Sionna and Aerial Omniverse Digital Twin comparison (arXiv 2508.15816)</t>
  </si>
  <si>
    <t xml:space="preserve">https://arxiv.org/abs/2508.15816</t>
  </si>
  <si>
    <t xml:space="preserve">D0218</t>
  </si>
  <si>
    <t xml:space="preserve">CORNET: A Co-Simulation Middleware for Robot Networks (COMSNETS 2020)</t>
  </si>
  <si>
    <t xml:space="preserve">https://ece.iisc.ac.in/~parimal/papers/2020/comsnets.pdf</t>
  </si>
  <si>
    <t xml:space="preserve">Gazebo, ns-3, and PX4 SITL joined over ZeroMQ with time synchronization.</t>
  </si>
  <si>
    <t xml:space="preserve">D0219</t>
  </si>
  <si>
    <t xml:space="preserve">CORNET 2.0: A Co-Simulation Middleware for Robot Networks (arXiv 2109.06979)</t>
  </si>
  <si>
    <t xml:space="preserve">https://arxiv.org/abs/2109.06979</t>
  </si>
  <si>
    <t xml:space="preserve">Second version uses Mininet-WiFi instead of ns-3.</t>
  </si>
  <si>
    <t xml:space="preserve">D0220</t>
  </si>
  <si>
    <t xml:space="preserve">Simulation Testbeds and Frameworks for UAV Performance Evaluation (survey)</t>
  </si>
  <si>
    <t xml:space="preserve">https://par.nsf.gov/servlets/purl/10297241</t>
  </si>
  <si>
    <t xml:space="preserve">Compares CORNET, RoboNetSim, ROS-NetSim, and FlyNetSim.</t>
  </si>
  <si>
    <t xml:space="preserve">D0221</t>
  </si>
  <si>
    <t xml:space="preserve">RoboNetSim: An integrated framework for multi-robot and network simulation</t>
  </si>
  <si>
    <t xml:space="preserve">https://www.researchgate.net/publication/257343897_RoboNetSim_An_integrated_framework_for_multi-robot_and_network_simulation</t>
  </si>
  <si>
    <t xml:space="preserve">Public (ResearchGate blocks automated download)</t>
  </si>
  <si>
    <t xml:space="preserve">ARGoS with ns-2/ns-3; find an open copy.</t>
  </si>
  <si>
    <t xml:space="preserve">D0222</t>
  </si>
  <si>
    <t xml:space="preserve">SynchroSim: co-simulation middleware for heterogeneous multi-robot systems (arXiv 2208.06569)</t>
  </si>
  <si>
    <t xml:space="preserve">https://arxiv.org/abs/2208.06569</t>
  </si>
  <si>
    <t xml:space="preserve">Newer related bridge found during search; cites ROS-NetSim and FlyNetSim as further alternatives.</t>
  </si>
  <si>
    <t xml:space="preserve">D0223</t>
  </si>
  <si>
    <t xml:space="preserve">Isaac Lab README</t>
  </si>
  <si>
    <t xml:space="preserve">https://github.com/isaac-sim/IsaacLab</t>
  </si>
  <si>
    <t xml:space="preserve">Found during the Isaac Sim pilot. Current branch supports Isaac Sim 6.0.</t>
  </si>
  <si>
    <t xml:space="preserve">D0224</t>
  </si>
  <si>
    <t xml:space="preserve">Isaac Lab GitHub releases</t>
  </si>
  <si>
    <t xml:space="preserve">https://github.com/isaac-sim/IsaacLab/releases</t>
  </si>
  <si>
    <t xml:space="preserve">Found during the Isaac Sim pilot.</t>
  </si>
  <si>
    <t xml:space="preserve">D0225</t>
  </si>
  <si>
    <t xml:space="preserve">NVIDIA Cosmos repository (Cosmos 3)</t>
  </si>
  <si>
    <t xml:space="preserve">https://github.com/NVIDIA/Cosmos</t>
  </si>
  <si>
    <t xml:space="preserve">Cosmos 3 launched 1 June 2026 and repositories moved here; the report predates this.</t>
  </si>
  <si>
    <t xml:space="preserve">D0226</t>
  </si>
  <si>
    <t xml:space="preserve">Cosmos-Transfer2.5 README</t>
  </si>
  <si>
    <t xml:space="preserve">https://github.com/nvidia-cosmos/cosmos-transfer2.5</t>
  </si>
  <si>
    <t xml:space="preserve">Control-conditioned world generation used for simulation-to-real augmentation.</t>
  </si>
  <si>
    <t xml:space="preserve">D0227</t>
  </si>
  <si>
    <t xml:space="preserve">Cosmos Cookbook</t>
  </si>
  <si>
    <t xml:space="preserve">https://github.com/nvidia-cosmos/cosmos-cookbook</t>
  </si>
  <si>
    <t xml:space="preserve">Workflows including Transfer-based simulation-to-real recipes and Jetson Thor deployment.</t>
  </si>
  <si>
    <t xml:space="preserve">D0228</t>
  </si>
  <si>
    <t xml:space="preserve">Cosmos-Transfer1 README</t>
  </si>
  <si>
    <t xml:space="preserve">https://github.com/nvidia-cosmos/cosmos-transfer1</t>
  </si>
  <si>
    <t xml:space="preserve">Earlier version; states Apache-2.0 code and NVIDIA Open Model License weights.</t>
  </si>
  <si>
    <t xml:space="preserve">D0229</t>
  </si>
  <si>
    <t xml:space="preserve">COMPASS: Cross-embodiment Mobility Policy via Residual RL and Skill Synthesis (arXiv 2502.16372)</t>
  </si>
  <si>
    <t xml:space="preserve">https://arxiv.org/abs/2502.16372</t>
  </si>
  <si>
    <t xml:space="preserve">Definitive paper.</t>
  </si>
  <si>
    <t xml:space="preserve">D0230</t>
  </si>
  <si>
    <t xml:space="preserve">COMPASS README</t>
  </si>
  <si>
    <t xml:space="preserve">https://github.com/NVlabs/COMPASS</t>
  </si>
  <si>
    <t xml:space="preserve">Training pipeline on Isaac Lab.</t>
  </si>
  <si>
    <t xml:space="preserve">D0231</t>
  </si>
  <si>
    <t xml:space="preserve">COMPASS project page</t>
  </si>
  <si>
    <t xml:space="preserve">https://nvlabs.github.io/COMPASS/</t>
  </si>
  <si>
    <t xml:space="preserve">Summary and results.</t>
  </si>
  <si>
    <t xml:space="preserve">D0232</t>
  </si>
  <si>
    <t xml:space="preserve">OmniDrones: An Efficient and Flexible Platform for Reinforcement Learning in Drone Control (arXiv 2309.12825)</t>
  </si>
  <si>
    <t xml:space="preserve">https://arxiv.org/abs/2309.12825</t>
  </si>
  <si>
    <t xml:space="preserve">D0233</t>
  </si>
  <si>
    <t xml:space="preserve">OmniDrones README</t>
  </si>
  <si>
    <t xml:space="preserve">https://github.com/btx0424/OmniDrones/blob/main/README.md</t>
  </si>
  <si>
    <t xml:space="preserve">Official branch targets Isaac Sim 4.1; community ports to 5.1 exist.</t>
  </si>
  <si>
    <t xml:space="preserve">D0234</t>
  </si>
  <si>
    <t xml:space="preserve">OmniDrones documentation</t>
  </si>
  <si>
    <t xml:space="preserve">https://omnidrones.readthedocs.io/</t>
  </si>
  <si>
    <t xml:space="preserve">Tasks, drone models, algorithms.</t>
  </si>
  <si>
    <t xml:space="preserve">D0235</t>
  </si>
  <si>
    <t xml:space="preserve">gym-pybullet-drones README</t>
  </si>
  <si>
    <t xml:space="preserve">https://github.com/utiasDSL/gym-pybullet-drones</t>
  </si>
  <si>
    <t xml:space="preserve">Repository now appears under the learnsyslab organization; single and multi-agent environments.</t>
  </si>
  <si>
    <t xml:space="preserve">D0236</t>
  </si>
  <si>
    <t xml:space="preserve">Learning to Fly: a Gym Environment with PyBullet Physics (arXiv 2103.02142)</t>
  </si>
  <si>
    <t xml:space="preserve">https://arxiv.org/abs/2103.02142</t>
  </si>
  <si>
    <t xml:space="preserve">IROS 2021 paper.</t>
  </si>
  <si>
    <t xml:space="preserve">D0237</t>
  </si>
  <si>
    <t xml:space="preserve">VMAS README</t>
  </si>
  <si>
    <t xml:space="preserve">https://github.com/proroklab/VectorizedMultiAgentSimulator</t>
  </si>
  <si>
    <t xml:space="preserve">2D vectorized differentiable simulator, scenarios, TorchRL and BenchMARL integration.</t>
  </si>
  <si>
    <t xml:space="preserve">D0238</t>
  </si>
  <si>
    <t xml:space="preserve">VMAS: A Vectorized Multi-agent Simulator for Collective Robot Learning (DARS 2022)</t>
  </si>
  <si>
    <t xml:space="preserve">https://link.springer.com/chapter/10.1007/978-3-031-51497-5_4</t>
  </si>
  <si>
    <t xml:space="preserve">Look for the arXiv copy.</t>
  </si>
  <si>
    <t xml:space="preserve">D0239</t>
  </si>
  <si>
    <t xml:space="preserve">BenchMARL repository and releases</t>
  </si>
  <si>
    <t xml:space="preserve">https://github.com/facebookresearch/BenchMARL</t>
  </si>
  <si>
    <t xml:space="preserve">Repository root derived from the releases page.</t>
  </si>
  <si>
    <t xml:space="preserve">D0240</t>
  </si>
  <si>
    <t xml:space="preserve">BenchMARL documentation</t>
  </si>
  <si>
    <t xml:space="preserve">https://benchmarl.readthedocs.io/en/latest/</t>
  </si>
  <si>
    <t xml:space="preserve">Link seen in release notes.</t>
  </si>
  <si>
    <t xml:space="preserve">D0241</t>
  </si>
  <si>
    <t xml:space="preserve">JaxMARL README</t>
  </si>
  <si>
    <t xml:space="preserve">https://github.com/FLAIROx/JaxMARL</t>
  </si>
  <si>
    <t xml:space="preserve">Environments and baselines in JAX.</t>
  </si>
  <si>
    <t xml:space="preserve">D0242</t>
  </si>
  <si>
    <t xml:space="preserve">JaxMARL: Multi-Agent RL Environments and Algorithms in JAX (arXiv 2311.10090)</t>
  </si>
  <si>
    <t xml:space="preserve">https://arxiv.org/abs/2311.10090</t>
  </si>
  <si>
    <t xml:space="preserve">NeurIPS 2024 Datasets and Benchmarks paper.</t>
  </si>
  <si>
    <t xml:space="preserve">D0243</t>
  </si>
  <si>
    <t xml:space="preserve">quad-swarm-rl README</t>
  </si>
  <si>
    <t xml:space="preserve">https://github.com/Zhehui-Huang/quad-swarm-rl</t>
  </si>
  <si>
    <t xml:space="preserve">Quadrotor swarm training codebase (USC).</t>
  </si>
  <si>
    <t xml:space="preserve">D0244</t>
  </si>
  <si>
    <t xml:space="preserve">Collision Avoidance and Navigation for a Quadrotor Swarm Using End-to-end Deep RL (arXiv 2309.13285)</t>
  </si>
  <si>
    <t xml:space="preserve">https://arxiv.org/abs/2309.13285</t>
  </si>
  <si>
    <t xml:space="preserve">ICRA 2024; zero-shot transfer to 8 real quadrotors.</t>
  </si>
  <si>
    <t xml:space="preserve">D0245</t>
  </si>
  <si>
    <t xml:space="preserve">Decentralized Control of Quadrotor Swarms with End-to-end Deep RL (arXiv 2109.07735)</t>
  </si>
  <si>
    <t xml:space="preserve">https://arxiv.org/abs/2109.07735</t>
  </si>
  <si>
    <t xml:space="preserve">CoRL 2021; the report's 'zero-shot swarm transfer at USC' reference.</t>
  </si>
  <si>
    <t xml:space="preserve">D0246</t>
  </si>
  <si>
    <t xml:space="preserve">MARBLER: An Open Platform for Standardized Evaluation of Multi-Robot RL (arXiv 2307.03891)</t>
  </si>
  <si>
    <t xml:space="preserve">https://arxiv.org/abs/2307.03891</t>
  </si>
  <si>
    <t xml:space="preserve">IEEE MRS 2023 best paper.</t>
  </si>
  <si>
    <t xml:space="preserve">D0247</t>
  </si>
  <si>
    <t xml:space="preserve">MARBLER README</t>
  </si>
  <si>
    <t xml:space="preserve">https://github.com/GT-STAR-Lab/MARBLER</t>
  </si>
  <si>
    <t xml:space="preserve">Setup and upload to the Robotarium.</t>
  </si>
  <si>
    <t xml:space="preserve">D0248</t>
  </si>
  <si>
    <t xml:space="preserve">MARBLER project page</t>
  </si>
  <si>
    <t xml:space="preserve">https://shubhlohiya.github.io/MARBLER/</t>
  </si>
  <si>
    <t xml:space="preserve">Architecture summary.</t>
  </si>
  <si>
    <t xml:space="preserve">D0249</t>
  </si>
  <si>
    <t xml:space="preserve">LeRobot README</t>
  </si>
  <si>
    <t xml:space="preserve">https://github.com/huggingface/lerobot</t>
  </si>
  <si>
    <t xml:space="preserve">D0250</t>
  </si>
  <si>
    <t xml:space="preserve">InforMARL repository (ICML 2023)</t>
  </si>
  <si>
    <t xml:space="preserve">https://github.com/nsidn98/InforMARL</t>
  </si>
  <si>
    <t xml:space="preserve">Graph-local multi-agent policies; README links the paper.</t>
  </si>
  <si>
    <t xml:space="preserve">D0251</t>
  </si>
  <si>
    <t xml:space="preserve">GAT-MF (KDD 2023)</t>
  </si>
  <si>
    <t xml:space="preserve">https://dl.acm.org/doi/10.1145/3580305.3599359</t>
  </si>
  <si>
    <t xml:space="preserve">Mean-field MARL with graph attention.</t>
  </si>
  <si>
    <t xml:space="preserve">D0252</t>
  </si>
  <si>
    <t xml:space="preserve">SCoUT (arXiv 2603.04833)</t>
  </si>
  <si>
    <t xml:space="preserve">https://arxiv.org/abs/2603.04833</t>
  </si>
  <si>
    <t xml:space="preserve">Utility-guided communication grouping (2026).</t>
  </si>
  <si>
    <t xml:space="preserve">D0253</t>
  </si>
  <si>
    <t xml:space="preserve">CoMuRoS (Frontiers in Robotics and AI, 2026)</t>
  </si>
  <si>
    <t xml:space="preserve">https://doi.org/10.3389/frobt.2026.1843313</t>
  </si>
  <si>
    <t xml:space="preserve">Web page / PDF</t>
  </si>
  <si>
    <t xml:space="preserve">Public (open access)</t>
  </si>
  <si>
    <t xml:space="preserve">Hierarchical LLM planner for heterogeneous ROS 2 teams.</t>
  </si>
  <si>
    <t xml:space="preserve">D0254</t>
  </si>
  <si>
    <t xml:space="preserve">LLM task-planning review (2026)</t>
  </si>
  <si>
    <t xml:space="preserve">https://www.sciencedirect.com/science/article/pii/S2667379726000021</t>
  </si>
  <si>
    <t xml:space="preserve">Check access</t>
  </si>
  <si>
    <t xml:space="preserve">Review cited alongside CoMuRoS in the report.</t>
  </si>
  <si>
    <t xml:space="preserve">D0255</t>
  </si>
  <si>
    <t xml:space="preserve">SMART-LLM (arXiv 2309.10062)</t>
  </si>
  <si>
    <t xml:space="preserve">https://arxiv.org/abs/2309.10062</t>
  </si>
  <si>
    <t xml:space="preserve">Decomposition, coalition formation, allocation with LLMs.</t>
  </si>
  <si>
    <t xml:space="preserve">D0256</t>
  </si>
  <si>
    <t xml:space="preserve">Robots That Ask For Help: Uncertainty Alignment for LLM Planners (KnowNo, arXiv 2307.01928)</t>
  </si>
  <si>
    <t xml:space="preserve">https://arxiv.org/abs/2307.01928</t>
  </si>
  <si>
    <t xml:space="preserve">Conformal prediction for LLM planners.</t>
  </si>
  <si>
    <t xml:space="preserve">D0257</t>
  </si>
  <si>
    <t xml:space="preserve">Can Aerial VLA Models Cooperate? Evaluating Air-Ground Coordination with CARLA-Air (arXiv 2605.31066)</t>
  </si>
  <si>
    <t xml:space="preserve">https://arxiv.org/abs/2605.31066</t>
  </si>
  <si>
    <t xml:space="preserve">The report's 'VLA models track but fail to cooperate' reference.</t>
  </si>
  <si>
    <t xml:space="preserve">D0258</t>
  </si>
  <si>
    <t xml:space="preserve">CARLA-Air: Fly Drones Inside a CARLA World (arXiv 2603.28032)</t>
  </si>
  <si>
    <t xml:space="preserve">https://arxiv.org/abs/2603.28032</t>
  </si>
  <si>
    <t xml:space="preserve">Platform paper: CARLA plus AirSim in one Unreal runtime.</t>
  </si>
  <si>
    <t xml:space="preserve">D0259</t>
  </si>
  <si>
    <t xml:space="preserve">SwarmUpdate: Hierarchical Software Updates and Deep Learning Model Patching for Heterogeneous UAV Swarms (arXiv 2503.13784)</t>
  </si>
  <si>
    <t xml:space="preserve">https://arxiv.org/abs/2503.13784</t>
  </si>
  <si>
    <t xml:space="preserve">Both components come from this paper; it is about distributing software and model updates, not decentralized training.</t>
  </si>
  <si>
    <t xml:space="preserve">D0260</t>
  </si>
  <si>
    <t xml:space="preserve">6G-GOALS (arXiv 2402.07573)</t>
  </si>
  <si>
    <t xml:space="preserve">https://arxiv.org/abs/2402.07573</t>
  </si>
  <si>
    <t xml:space="preserve">Goal-oriented and semantic communication project.</t>
  </si>
  <si>
    <t xml:space="preserve">D0261</t>
  </si>
  <si>
    <t xml:space="preserve">Goal-oriented multi-agent semantic networking (arXiv 2512.01035)</t>
  </si>
  <si>
    <t xml:space="preserve">https://arxiv.org/abs/2512.01035</t>
  </si>
  <si>
    <t xml:space="preserve">Unifies intents, semantics, intelligence.</t>
  </si>
  <si>
    <t xml:space="preserve">D0262</t>
  </si>
  <si>
    <t xml:space="preserve">Foxglove fleet software overview (Agent, Bridge, SDK)</t>
  </si>
  <si>
    <t xml:space="preserve">https://docs.foxglove.dev/docs/fleet</t>
  </si>
  <si>
    <t xml:space="preserve">How the three on-device components relate.</t>
  </si>
  <si>
    <t xml:space="preserve">D0263</t>
  </si>
  <si>
    <t xml:space="preserve">Foxglove Bridge documentation</t>
  </si>
  <si>
    <t xml:space="preserve">https://docs.foxglove.dev/docs/fleet/bridge</t>
  </si>
  <si>
    <t xml:space="preserve">Remote access for ROS 1 and ROS 2; built on the open-source Foxglove SDK.</t>
  </si>
  <si>
    <t xml:space="preserve">D0264</t>
  </si>
  <si>
    <t xml:space="preserve">foxglove_bridge package documentation (ROS docs)</t>
  </si>
  <si>
    <t xml:space="preserve">https://docs.ros.org/en/ros2_packages/rolling/api/foxglove_bridge/</t>
  </si>
  <si>
    <t xml:space="preserve">MIT-licensed bridge; design rationale versus rosbridge.</t>
  </si>
  <si>
    <t xml:space="preserve">D0265</t>
  </si>
  <si>
    <t xml:space="preserve">Visualizing ROS 2 data with Foxglove (ROS 2 docs)</t>
  </si>
  <si>
    <t xml:space="preserve">https://docs.ros.org/en/kilted/Related-Projects/Visualizing-ROS-2-Data-With-Foxglove.html</t>
  </si>
  <si>
    <t xml:space="preserve">Recording to MCAP and replay.</t>
  </si>
  <si>
    <t xml:space="preserve">D0266</t>
  </si>
  <si>
    <t xml:space="preserve">MCAP format specification (in repository)</t>
  </si>
  <si>
    <t xml:space="preserve">Format specification</t>
  </si>
  <si>
    <t xml:space="preserve">https://github.com/foxglove/mcap/tree/main/docs/specification</t>
  </si>
  <si>
    <t xml:space="preserve">Markdown repository folder</t>
  </si>
  <si>
    <t xml:space="preserve">Record definitions and profiles; path taken from a link inside the library source.</t>
  </si>
  <si>
    <t xml:space="preserve">D0267</t>
  </si>
  <si>
    <t xml:space="preserve">MCAP README</t>
  </si>
  <si>
    <t xml:space="preserve">https://github.com/foxglove/mcap</t>
  </si>
  <si>
    <t xml:space="preserve">Libraries per language, conformance tests, citation.</t>
  </si>
  <si>
    <t xml:space="preserve">D0268</t>
  </si>
  <si>
    <t xml:space="preserve">mcap.dev documentation</t>
  </si>
  <si>
    <t xml:space="preserve">https://mcap.dev/</t>
  </si>
  <si>
    <t xml:space="preserve">Getting started guides and API reference.</t>
  </si>
  <si>
    <t xml:space="preserve">D0269</t>
  </si>
  <si>
    <t xml:space="preserve">Introducing the MCAP File Format</t>
  </si>
  <si>
    <t xml:space="preserve">https://foxglove.dev/blog/introducing-the-mcap-file-format</t>
  </si>
  <si>
    <t xml:space="preserve">Design rationale versus ROS 1 bags and the ROS 2 SQLite format.</t>
  </si>
  <si>
    <t xml:space="preserve">D0270</t>
  </si>
  <si>
    <t xml:space="preserve">MCAP product page</t>
  </si>
  <si>
    <t xml:space="preserve">https://foxglove.dev/product/mcap</t>
  </si>
  <si>
    <t xml:space="preserve">States MCAP is the ROS 2 default storage format from the Iron release.</t>
  </si>
  <si>
    <t xml:space="preserve">D0271</t>
  </si>
  <si>
    <t xml:space="preserve">rosbag2 repository</t>
  </si>
  <si>
    <t xml:space="preserve">https://github.com/ros2/rosbag2</t>
  </si>
  <si>
    <t xml:space="preserve">Recording, playback, storage plugins including MCAP.</t>
  </si>
  <si>
    <t xml:space="preserve">D0272</t>
  </si>
  <si>
    <t xml:space="preserve">Visualizing ROS 2 data with Foxglove (recording to MCAP)</t>
  </si>
  <si>
    <t xml:space="preserve">ros2 bag record to .mcap.</t>
  </si>
  <si>
    <t xml:space="preserve">D0273</t>
  </si>
  <si>
    <t xml:space="preserve">Jetson Orin product and developer page</t>
  </si>
  <si>
    <t xml:space="preserve">https://developer.nvidia.com/embedded/jetson-orin</t>
  </si>
  <si>
    <t xml:space="preserve">Specs and developer kits.</t>
  </si>
  <si>
    <t xml:space="preserve">D0274</t>
  </si>
  <si>
    <t xml:space="preserve">Jetson Thor product and developer page</t>
  </si>
  <si>
    <t xml:space="preserve">https://developer.nvidia.com/embedded/jetson-thor</t>
  </si>
  <si>
    <t xml:space="preserve">Onboard transformer-scale inference.</t>
  </si>
  <si>
    <t xml:space="preserve">D0275</t>
  </si>
  <si>
    <t xml:space="preserve">Cosmos Cookbook (Cosmos-Reason2 on Jetson Thor recipe)</t>
  </si>
  <si>
    <t xml:space="preserve">Worked example of deploying a vision-language model on Thor.</t>
  </si>
  <si>
    <t xml:space="preserve">D0276</t>
  </si>
  <si>
    <t xml:space="preserve">Isaac Sim documentation (requirements section)</t>
  </si>
  <si>
    <t xml:space="preserve">GPU requirements for simulation; crawl the Requirements page.</t>
  </si>
  <si>
    <t xml:space="preserve">D0277</t>
  </si>
  <si>
    <t xml:space="preserve">Raspberry Pi documentation</t>
  </si>
  <si>
    <t xml:space="preserve">https://www.raspberrypi.com/documentation/</t>
  </si>
  <si>
    <t xml:space="preserve">Low priority.</t>
  </si>
  <si>
    <t xml:space="preserve">D0278</t>
  </si>
  <si>
    <t xml:space="preserve">ESP-IDF documentation</t>
  </si>
  <si>
    <t xml:space="preserve">https://docs.espressif.com/projects/esp-idf/en/latest/</t>
  </si>
  <si>
    <t xml:space="preserve">Relevant only with micro-ROS.</t>
  </si>
  <si>
    <t xml:space="preserve">D0279</t>
  </si>
  <si>
    <t xml:space="preserve">micro-ROS supported hardware</t>
  </si>
  <si>
    <t xml:space="preserve">https://micro.vulcanexus.org/docs/overview/hardware/</t>
  </si>
  <si>
    <t xml:space="preserve">Which microcontrollers micro-ROS supports.</t>
  </si>
  <si>
    <t xml:space="preserve">D0280</t>
  </si>
  <si>
    <t xml:space="preserve">Skynode S documentation</t>
  </si>
  <si>
    <t xml:space="preserve">https://docs.auterion.com/hardware-integration/skynode-s</t>
  </si>
  <si>
    <t xml:space="preserve">Integration guides and interfaces.</t>
  </si>
  <si>
    <t xml:space="preserve">D0281</t>
  </si>
  <si>
    <t xml:space="preserve">Skynode S datasheet</t>
  </si>
  <si>
    <t xml:space="preserve">https://docs.auterion.com/hardware-integration/skynode-s/datasheet</t>
  </si>
  <si>
    <t xml:space="preserve">Dimensions, weight, interfaces.</t>
  </si>
  <si>
    <t xml:space="preserve">D0282</t>
  </si>
  <si>
    <t xml:space="preserve">Skynode S product page</t>
  </si>
  <si>
    <t xml:space="preserve">https://auterion.com/product/skynode-s/</t>
  </si>
  <si>
    <t xml:space="preserve">TAK integration and payload control.</t>
  </si>
  <si>
    <t xml:space="preserve">D0283</t>
  </si>
  <si>
    <t xml:space="preserve">Bitcraze documentation</t>
  </si>
  <si>
    <t xml:space="preserve">https://www.bitcraze.io/documentation/</t>
  </si>
  <si>
    <t xml:space="preserve">Hardware, firmware, positioning systems.</t>
  </si>
  <si>
    <t xml:space="preserve">D0284</t>
  </si>
  <si>
    <t xml:space="preserve">Aerostack2 DJI Payload SDK platform package</t>
  </si>
  <si>
    <t xml:space="preserve">https://github.com/aerostack2/as2_platform_dji_psdk/tree/main/</t>
  </si>
  <si>
    <t xml:space="preserve">How DJI platforms plug into Aerostack2.</t>
  </si>
  <si>
    <t xml:space="preserve">D0285</t>
  </si>
  <si>
    <t xml:space="preserve">DJI Payload SDK documentation</t>
  </si>
  <si>
    <t xml:space="preserve">https://developer.dji.com/doc/payload-sdk-tutorial/en/</t>
  </si>
  <si>
    <t xml:space="preserve">Vendor SDK.</t>
  </si>
  <si>
    <t xml:space="preserve">D0286</t>
  </si>
  <si>
    <t xml:space="preserve">TurtleBot3 e-manual</t>
  </si>
  <si>
    <t xml:space="preserve">https://emanual.robotis.com/docs/en/platform/turtlebot3/overview/</t>
  </si>
  <si>
    <t xml:space="preserve">Used by ROS2swarm.</t>
  </si>
  <si>
    <t xml:space="preserve">D0287</t>
  </si>
  <si>
    <t xml:space="preserve">Clearpath Jackal documentation</t>
  </si>
  <si>
    <t xml:space="preserve">https://docs.clearpathrobotics.com/docs/robots/outdoor_robots/jackal/</t>
  </si>
  <si>
    <t xml:space="preserve">D0288</t>
  </si>
  <si>
    <t xml:space="preserve">V-BAT product page</t>
  </si>
  <si>
    <t xml:space="preserve">https://shield.ai/v-bat/</t>
  </si>
  <si>
    <t xml:space="preserve">Hivemind-equipped aircraft.</t>
  </si>
  <si>
    <t xml:space="preserve">D0289</t>
  </si>
  <si>
    <t xml:space="preserve">General Atomics Avenger (MQ-20) page</t>
  </si>
  <si>
    <t xml:space="preserve">https://www.ga-asi.com/remotely-piloted-aircraft/avenger</t>
  </si>
  <si>
    <t xml:space="preserve">Hivemind autonomy test aircraft.</t>
  </si>
  <si>
    <t xml:space="preserve">D0290</t>
  </si>
  <si>
    <t xml:space="preserve">Anduril Fury (YFQ-44A) page</t>
  </si>
  <si>
    <t xml:space="preserve">https://www.anduril.com/fury</t>
  </si>
  <si>
    <t xml:space="preserve">Collaborative Combat Aircraft increment 1; Lattice and Hivemind both flew on it.</t>
  </si>
  <si>
    <t xml:space="preserve">D0291</t>
  </si>
  <si>
    <t xml:space="preserve">motion_capture_tracking (IMRCLab)</t>
  </si>
  <si>
    <t xml:space="preserve">https://github.com/IMRCLab/motion_capture_tracking</t>
  </si>
  <si>
    <t xml:space="preserve">ROS 2 package used by Crazyswarm2 for Vicon, OptiTrack, and Qualisys.</t>
  </si>
  <si>
    <t xml:space="preserve">D0292</t>
  </si>
  <si>
    <t xml:space="preserve">Event-based Vision: A Survey (arXiv 1904.08405)</t>
  </si>
  <si>
    <t xml:space="preserve">https://arxiv.org/abs/1904.08405</t>
  </si>
  <si>
    <t xml:space="preserve">Standard survey.</t>
  </si>
  <si>
    <t xml:space="preserve">D0293</t>
  </si>
  <si>
    <t xml:space="preserve">Task manager data model (Protocol Buffers schema on Buf)</t>
  </si>
  <si>
    <t xml:space="preserve">https://buf.build/anduril/lattice-sdk/docs/main:anduril.taskmanager.v1</t>
  </si>
  <si>
    <t xml:space="preserve">Message-level definitions of tasks, delivery constraints, and status. The most precise source for copying the task schema.</t>
  </si>
  <si>
    <t xml:space="preserve">D0294</t>
  </si>
  <si>
    <t xml:space="preserve">The Lattice API overview</t>
  </si>
  <si>
    <t xml:space="preserve">https://developer.anduril.com/reference/overview/overview</t>
  </si>
  <si>
    <t xml:space="preserve">Entities, tasking, objects; versioning and support policy.</t>
  </si>
  <si>
    <t xml:space="preserve">D0295</t>
  </si>
  <si>
    <t xml:space="preserve">Tasks overview</t>
  </si>
  <si>
    <t xml:space="preserve">https://developer.anduril.com/guides/tasks/overview</t>
  </si>
  <si>
    <t xml:space="preserve">Task catalog, task definitions, task lifecycle; core reference for a team-level task model.</t>
  </si>
  <si>
    <t xml:space="preserve">D0296</t>
  </si>
  <si>
    <t xml:space="preserve">Lattice developer documentation home</t>
  </si>
  <si>
    <t xml:space="preserve">https://developer.anduril.com/</t>
  </si>
  <si>
    <t xml:space="preserve">Root of the SDK documentation. Check the site for an llms.txt file before crawling, and review terms of use.</t>
  </si>
  <si>
    <t xml:space="preserve">D0297</t>
  </si>
  <si>
    <t xml:space="preserve">Building with Lattice (concepts overview)</t>
  </si>
  <si>
    <t xml:space="preserve">https://developer.anduril.com/guides/concepts/overview</t>
  </si>
  <si>
    <t xml:space="preserve">Integration model and the Lattice Developer Program.</t>
  </si>
  <si>
    <t xml:space="preserve">D0298</t>
  </si>
  <si>
    <t xml:space="preserve">Listen for tasks</t>
  </si>
  <si>
    <t xml:space="preserve">https://developer.anduril.com/guides/tasks/listen</t>
  </si>
  <si>
    <t xml:space="preserve">How an agent receives and executes tasks.</t>
  </si>
  <si>
    <t xml:space="preserve">D0299</t>
  </si>
  <si>
    <t xml:space="preserve">Publish entities</t>
  </si>
  <si>
    <t xml:space="preserve">https://developer.anduril.com/guides/entities/publish</t>
  </si>
  <si>
    <t xml:space="preserve">Common entity patterns.</t>
  </si>
  <si>
    <t xml:space="preserve">D0300</t>
  </si>
  <si>
    <t xml:space="preserve">Watch entities</t>
  </si>
  <si>
    <t xml:space="preserve">https://developer.anduril.com/guides/entities/watch</t>
  </si>
  <si>
    <t xml:space="preserve">Fetching and streaming entity updates.</t>
  </si>
  <si>
    <t xml:space="preserve">D0301</t>
  </si>
  <si>
    <t xml:space="preserve">Lattice SDK for Python README</t>
  </si>
  <si>
    <t xml:space="preserve">https://github.com/anduril/lattice-sdk-python</t>
  </si>
  <si>
    <t xml:space="preserve">Package anduril-lattice-sdk; client usage.</t>
  </si>
  <si>
    <t xml:space="preserve">D0302</t>
  </si>
  <si>
    <t xml:space="preserve">Lattice for Mission Autonomy</t>
  </si>
  <si>
    <t xml:space="preserve">https://www.anduril.com/lattice/mission-autonomy</t>
  </si>
  <si>
    <t xml:space="preserve">Marketing description of multi-vehicle teaming under one operator.</t>
  </si>
  <si>
    <t xml:space="preserve">D0303</t>
  </si>
  <si>
    <t xml:space="preserve">Lattice for Command and Control</t>
  </si>
  <si>
    <t xml:space="preserve">https://www.anduril.com/lattice/command-and-control</t>
  </si>
  <si>
    <t xml:space="preserve">Marketing description of the command-and-control product.</t>
  </si>
  <si>
    <t xml:space="preserve">D0304</t>
  </si>
  <si>
    <t xml:space="preserve">Anduril unveils Lattice for Mission Autonomy</t>
  </si>
  <si>
    <t xml:space="preserve">Press release</t>
  </si>
  <si>
    <t xml:space="preserve">https://www.anduril.com/news/anduril-unveils-lattice-for-mission-autonomy</t>
  </si>
  <si>
    <t xml:space="preserve">Mission-cycle concept (planning, operations, debrief).</t>
  </si>
  <si>
    <t xml:space="preserve">D0305</t>
  </si>
  <si>
    <t xml:space="preserve">Lattice Developer Program environments</t>
  </si>
  <si>
    <t xml:space="preserve">(requires Anduril relationship)</t>
  </si>
  <si>
    <t xml:space="preserve">Gated</t>
  </si>
  <si>
    <t xml:space="preserve">Sandbox environments and architecture guidance available only to program members.</t>
  </si>
  <si>
    <t xml:space="preserve">D0306</t>
  </si>
  <si>
    <t xml:space="preserve">Lattice: a trusted dual-use platform</t>
  </si>
  <si>
    <t xml:space="preserve">https://www.anduril.com/news/anduril-s-lattice-a-trusted-dual-use-commercial-and-military-platform-for-public-safety-security</t>
  </si>
  <si>
    <t xml:space="preserve">Deployment examples including border security.</t>
  </si>
  <si>
    <t xml:space="preserve">D0307</t>
  </si>
  <si>
    <t xml:space="preserve">Hivemind EdgeOS: A Game-Changer for Autonomous Robotics</t>
  </si>
  <si>
    <t xml:space="preserve">https://shield.ai/hivemind-edgeos-a-game-changer-for-autonomous-robotics/</t>
  </si>
  <si>
    <t xml:space="preserve">Most technical public source: static JSON configuration, Blocks and Ports, message schema language, record and replay.</t>
  </si>
  <si>
    <t xml:space="preserve">D0308</t>
  </si>
  <si>
    <t xml:space="preserve">EdgeOS product page</t>
  </si>
  <si>
    <t xml:space="preserve">https://shield.ai/edge-os/</t>
  </si>
  <si>
    <t xml:space="preserve">Official description of the real-time autonomy middleware.</t>
  </si>
  <si>
    <t xml:space="preserve">D0309</t>
  </si>
  <si>
    <t xml:space="preserve">From Concept to Combat: How Hivemind SDK Powers Next-Gen Autonomy</t>
  </si>
  <si>
    <t xml:space="preserve">https://shield.ai/from-concept-to-combat-how-hivemind-sdk-powers-next-gen-autonomy/</t>
  </si>
  <si>
    <t xml:space="preserve">Software development kit structure: reference architectures, autonomy libraries, simulation and test tools.</t>
  </si>
  <si>
    <t xml:space="preserve">D0310</t>
  </si>
  <si>
    <t xml:space="preserve">Resilient Shield: Strengthening Hivemind for Safe, Real-World Flight</t>
  </si>
  <si>
    <t xml:space="preserve">https://shield.ai/resilient-shield-strengthening-hivemind-for-safe-real-world-flight/</t>
  </si>
  <si>
    <t xml:space="preserve">Runtime assurance framework; relevant to the report's assurance blocker.</t>
  </si>
  <si>
    <t xml:space="preserve">D0311</t>
  </si>
  <si>
    <t xml:space="preserve">Hivemind Enterprise developer documentation</t>
  </si>
  <si>
    <t xml:space="preserve">(licensed customers only)</t>
  </si>
  <si>
    <t xml:space="preserve">Distributed with paid developer seats; not scrapable.</t>
  </si>
  <si>
    <t xml:space="preserve">D0312</t>
  </si>
  <si>
    <t xml:space="preserve">The Smartest Way to Build Autonomy is with Hivemind Enterprise</t>
  </si>
  <si>
    <t xml:space="preserve">https://shield.ai/the-smartest-way-to-build-autonomy-not-alone/</t>
  </si>
  <si>
    <t xml:space="preserve">Customer adoption example; mostly promotional.</t>
  </si>
  <si>
    <t xml:space="preserve">D0313</t>
  </si>
  <si>
    <t xml:space="preserve">Shield AI raises $250M to scale Hivemind Enterprise (The Robot Report)</t>
  </si>
  <si>
    <t xml:space="preserve">Third-party article</t>
  </si>
  <si>
    <t xml:space="preserve">https://www.therobotreport.com/shield-ai-raises-250m-scale-hivemind-enterprise-autonomy-developer-platform/</t>
  </si>
  <si>
    <t xml:space="preserve">Independent summary of the product line.</t>
  </si>
  <si>
    <t xml:space="preserve">D0314</t>
  </si>
  <si>
    <t xml:space="preserve">Auterion documentation (developer and integration)</t>
  </si>
  <si>
    <t xml:space="preserve">https://docs.auterion.com/</t>
  </si>
  <si>
    <t xml:space="preserve">Public GitBook docs covering the SDK, app framework, AuterionOS system guide, and release notes; the report implied no public developer surface.</t>
  </si>
  <si>
    <t xml:space="preserve">D0315</t>
  </si>
  <si>
    <t xml:space="preserve">Auterion documentation index for AI tools (llms.txt)</t>
  </si>
  <si>
    <t xml:space="preserve">https://docs.auterion.com/llms.txt</t>
  </si>
  <si>
    <t xml:space="preserve">Documentation-site crawl (llms.txt first)</t>
  </si>
  <si>
    <t xml:space="preserve">Pages state a complete index is at llms.txt; best single entry point for scraping.</t>
  </si>
  <si>
    <t xml:space="preserve">D0316</t>
  </si>
  <si>
    <t xml:space="preserve">https://docs.auterion.com/app-development/auterion-sdk</t>
  </si>
  <si>
    <t xml:space="preserve">Onboard SDK built on ROS 2: flight mode, navigation input, visual tracking, object detection APIs.</t>
  </si>
  <si>
    <t xml:space="preserve">D0317</t>
  </si>
  <si>
    <t xml:space="preserve">Auterion Skynode X on PX4 docs</t>
  </si>
  <si>
    <t xml:space="preserve">https://docs.px4.io/main/en/companion_computer/auterion_skynode</t>
  </si>
  <si>
    <t xml:space="preserve">Explains AuterionOS as a hardened PX4 plus a managed mission-computer OS with sandboxed apps.</t>
  </si>
  <si>
    <t xml:space="preserve">D0318</t>
  </si>
  <si>
    <t xml:space="preserve">Auterion Launches Nemyx, Enabling Fully Coordinated Drone Swarms</t>
  </si>
  <si>
    <t xml:space="preserve">https://auterion.com/auterion-launches-nemyx-enabling-fully-coordinated-drone-swarms/</t>
  </si>
  <si>
    <t xml:space="preserve">Launch description: cross-manufacturer swarm engine delivered as an AuterionOS app.</t>
  </si>
  <si>
    <t xml:space="preserve">D0319</t>
  </si>
  <si>
    <t xml:space="preserve">World's First Multi-Manufacturer Swarm Strike Demonstration (Dec 2025)</t>
  </si>
  <si>
    <t xml:space="preserve">https://auterion.com/auterion-performs-worlds-first-multi-manufacturer-swarm-strike-demonstration/</t>
  </si>
  <si>
    <t xml:space="preserve">Hybrid FPV and fixed-wing swarm; data fed to ATAK as Cursor on Target.</t>
  </si>
  <si>
    <t xml:space="preserve">D0320</t>
  </si>
  <si>
    <t xml:space="preserve">Single Operator Strikes Three Targets in U.S. Live-Fire Swarm Test</t>
  </si>
  <si>
    <t xml:space="preserve">https://auterion.com/auterion-global-first-drone-swarm-live-fire/</t>
  </si>
  <si>
    <t xml:space="preserve">States what the software handles autonomously: navigation, formation, deconfliction, terminal guidance.</t>
  </si>
  <si>
    <t xml:space="preserve">D0321</t>
  </si>
  <si>
    <t xml:space="preserve">Auterion Announces New Drone Swarm Strike AI (DroneLife)</t>
  </si>
  <si>
    <t xml:space="preserve">https://dronelife.com/2025/09/03/auterion-announces-new-drone-swarm-strike-ai/</t>
  </si>
  <si>
    <t xml:space="preserve">Independent summary.</t>
  </si>
  <si>
    <t xml:space="preserve">D0322</t>
  </si>
  <si>
    <t xml:space="preserve">Skydio Cloud API documentation</t>
  </si>
  <si>
    <t xml:space="preserve">https://apidocs.skydio.com/reference/introduction</t>
  </si>
  <si>
    <t xml:space="preserve">REST API for fleet and media; sample code repository referenced.</t>
  </si>
  <si>
    <t xml:space="preserve">D0323</t>
  </si>
  <si>
    <t xml:space="preserve">https://support.skydio.com/hc/en-us/articles/4402745311259-Skydio-Cloud-Release-Notes</t>
  </si>
  <si>
    <t xml:space="preserve">Includes automatic drone-to-drone deconfliction for dock-based operations, a new multi-vehicle capability.</t>
  </si>
  <si>
    <t xml:space="preserve">D0324</t>
  </si>
  <si>
    <t xml:space="preserve">Skydio software overview</t>
  </si>
  <si>
    <t xml:space="preserve">https://www.skydio.com/software</t>
  </si>
  <si>
    <t xml:space="preserve">Product line map: Autonomy, Cloud, Remote Ops, DFR Command.</t>
  </si>
  <si>
    <t xml:space="preserve">D0325</t>
  </si>
  <si>
    <t xml:space="preserve">Skydio Cloud general availability announcement</t>
  </si>
  <si>
    <t xml:space="preserve">https://www.skydio.com/blog/skydio-cloud-autonomous-connected-flight-operations</t>
  </si>
  <si>
    <t xml:space="preserve">Fleet Manager and Media Sync background.</t>
  </si>
  <si>
    <t xml:space="preserve">D0326</t>
  </si>
  <si>
    <t xml:space="preserve">First Successful Multi-Drone Collaborative Autonomous Flight</t>
  </si>
  <si>
    <t xml:space="preserve">https://www.palladyneai.com/press-releases/palladyne-ai-and-red-cat-announce-first-successful-multi-drone-collaborative-autonomous-flight/</t>
  </si>
  <si>
    <t xml:space="preserve">Collaborative detection and tracking under constrained communication.</t>
  </si>
  <si>
    <t xml:space="preserve">D0327</t>
  </si>
  <si>
    <t xml:space="preserve">Cross-Platform Collaborative Drone Flight</t>
  </si>
  <si>
    <t xml:space="preserve">https://investor.palladyneai.com/news-releases/news-release-details/palladyne-ai-and-red-cat-announce-successful-completion-cross</t>
  </si>
  <si>
    <t xml:space="preserve">Teal 2 and Black Widow; edge compute without central infrastructure.</t>
  </si>
  <si>
    <t xml:space="preserve">D0328</t>
  </si>
  <si>
    <t xml:space="preserve">Palladyne AI and Red Cat to demonstrate autonomous swarms to the US military (Shephard)</t>
  </si>
  <si>
    <t xml:space="preserve">https://www.shephardmedia.com/news/uv-online/palladyne-aired-cat-to-demonstrate-capabilities-for-autonomous-drone-swarms-to-the-us-military/</t>
  </si>
  <si>
    <t xml:space="preserve">Interview context on self-orchestrating sensor networks.</t>
  </si>
  <si>
    <t xml:space="preserve">D0329</t>
  </si>
  <si>
    <t xml:space="preserve">Swarmer Nasdaq IPO registration statement (SEC EDGAR)</t>
  </si>
  <si>
    <t xml:space="preserve">Regulatory filing</t>
  </si>
  <si>
    <t xml:space="preserve">(search SEC EDGAR for Swarmer, ticker SWMR)</t>
  </si>
  <si>
    <t xml:space="preserve">HTML or PDF</t>
  </si>
  <si>
    <t xml:space="preserve">Not a public URL yet</t>
  </si>
  <si>
    <t xml:space="preserve">IPO filing reported in February 2026; likely the most detailed public description of STYX, MINAS, and TRIDENT.</t>
  </si>
  <si>
    <t xml:space="preserve">D0330</t>
  </si>
  <si>
    <t xml:space="preserve">Swarmer files for Nasdaq IPO (TradingView summary)</t>
  </si>
  <si>
    <t xml:space="preserve">https://www.tradingview.com/news/tradingview:fef2f30841674:0-swarmer-software-platform-for-autonomous-drone-swarms-and-battlefield-ai-files-for-nasdaq-capital-market-ipo/</t>
  </si>
  <si>
    <t xml:space="preserve">Product stack: STYX command and control, MINAS collaborative autonomy, TRIDENT embedded OS.</t>
  </si>
  <si>
    <t xml:space="preserve">D0331</t>
  </si>
  <si>
    <t xml:space="preserve">Swarmer raises $15M Series A (Kyiv Post)</t>
  </si>
  <si>
    <t xml:space="preserve">https://www.kyivpost.com/post/60321</t>
  </si>
  <si>
    <t xml:space="preserve">25-drone swarms without satellite positioning; planned 100+ mixed-domain swarm.</t>
  </si>
  <si>
    <t xml:space="preserve">D0332</t>
  </si>
  <si>
    <t xml:space="preserve">Skybrush site</t>
  </si>
  <si>
    <t xml:space="preserve">https://skybrush.io</t>
  </si>
  <si>
    <t xml:space="preserve">Pro-tier features; not searched separately this session.</t>
  </si>
  <si>
    <t xml:space="preserve">D0333</t>
  </si>
  <si>
    <t xml:space="preserve">Colosseum fork README (SWARM Simulation Platform description)</t>
  </si>
  <si>
    <t xml:space="preserve">https://github.com/alonfaraj/AirSim</t>
  </si>
  <si>
    <t xml:space="preserve">Only public description found so far of Codex Labs' SWARM platform; commercial documentation pending.</t>
  </si>
  <si>
    <t xml:space="preserve">D0334</t>
  </si>
  <si>
    <t xml:space="preserve">Congestion Analysis for the DARPA OFFSET CCAST Swarm (arXiv 2307.16788)</t>
  </si>
  <si>
    <t xml:space="preserve">https://arxiv.org/abs/2307.16788</t>
  </si>
  <si>
    <t xml:space="preserve">Launch-zone congestion at 183 vehicles; the acknowledgments identify CCAST as a Raytheon BBN and SIFT team.</t>
  </si>
  <si>
    <t xml:space="preserve">D0335</t>
  </si>
  <si>
    <t xml:space="preserve">CCAST: A Framework and Practical Deployment of Heterogeneous Unmanned System Swarms (ACM GetMobile)</t>
  </si>
  <si>
    <t xml:space="preserve">https://dl.acm.org/doi/10.1145/3457356.3457362</t>
  </si>
  <si>
    <t xml:space="preserve">Subscription (ACM) or open copy</t>
  </si>
  <si>
    <t xml:space="preserve">CCAST architecture paper; closest public description of the unreleased system.</t>
  </si>
  <si>
    <t xml:space="preserve">D0336</t>
  </si>
  <si>
    <t xml:space="preserve">OFFSET Swarms Take Flight in Final Field Experiment</t>
  </si>
  <si>
    <t xml:space="preserve">Program news</t>
  </si>
  <si>
    <t xml:space="preserve">https://www.darpa.mil/news/2021/offset-swarms-take-flight</t>
  </si>
  <si>
    <t xml:space="preserve">Final field experiment summary; describes the two integrators' architectures.</t>
  </si>
  <si>
    <t xml:space="preserve">D0337</t>
  </si>
  <si>
    <t xml:space="preserve">DARPA OFFSET: A Vision for Advanced Swarm Systems</t>
  </si>
  <si>
    <t xml:space="preserve">https://www.researchgate.net/publication/367321998_DARPA_OFFSET_A_Vision_for_Advanced_Swarm_Systems_through_Agile_Technology_Development_and_ExperimentationDARPA_OFFSET_A_Vision_for_Advanced_Swarm_Systems_through_Agile_Technology_Development_and_Exper</t>
  </si>
  <si>
    <t xml:space="preserve">Program vision and outcomes. Find the open-access journal copy (Field Robotics special issue) instead of scraping ResearchGate.</t>
  </si>
  <si>
    <t xml:space="preserve">D0338</t>
  </si>
  <si>
    <t xml:space="preserve">OFFSET Swarm Systems Integrators Demonstrate Tactics to Conduct Urban Raid</t>
  </si>
  <si>
    <t xml:space="preserve">https://www.darpa.mil/news/2020/offset-swarm-urban-raid</t>
  </si>
  <si>
    <t xml:space="preserve">Swarm tactics exchanges and program structure.</t>
  </si>
  <si>
    <t xml:space="preserve">D0339</t>
  </si>
  <si>
    <t xml:space="preserve">Congestion Analysis for the DARPA OFFSET CCAST Swarm (IEEE Transactions on Field Robotics)</t>
  </si>
  <si>
    <t xml:space="preserve">https://ieeexplore.ieee.org/document/10757440</t>
  </si>
  <si>
    <t xml:space="preserve">Journal version of the arXiv paper; arXiv copy is sufficient.</t>
  </si>
  <si>
    <t xml:space="preserve">D0340</t>
  </si>
  <si>
    <t xml:space="preserve">DARPA OFFSET: Autonomous Drone Swarms for Warfighters (DSIAC)</t>
  </si>
  <si>
    <t xml:space="preserve">https://dsiac.dtic.mil/articles/darpa-offset-autonomous-drone-swarms-for-warfighters/</t>
  </si>
  <si>
    <t xml:space="preserve">Program description from the Defense Systems Information Analysis Center.</t>
  </si>
  <si>
    <t xml:space="preserve">D0341</t>
  </si>
  <si>
    <t xml:space="preserve">Scale-Invariant Specifications for Human-Swarm Systems (arXiv 2212.03106)</t>
  </si>
  <si>
    <t xml:space="preserve">https://arxiv.org/pdf/2212.03106</t>
  </si>
  <si>
    <t xml:space="preserve">Describes interfacing to the Raytheon BBN Java/Protelis swarm interface at OFFSET field tests.</t>
  </si>
  <si>
    <t xml:space="preserve">D0342</t>
  </si>
  <si>
    <t xml:space="preserve">Ergodic Specifications for Flexible Swarm Control (arXiv 2006.06081)</t>
  </si>
  <si>
    <t xml:space="preserve">https://arxiv.org/pdf/2006.06081</t>
  </si>
  <si>
    <t xml:space="preserve">Sprinter work tested at OFFSET field tests.</t>
  </si>
  <si>
    <t xml:space="preserve">D0343</t>
  </si>
  <si>
    <t xml:space="preserve">ROS-NetSim: A Framework for the Integration of Robotic and Network Simulators (RA-L 2021)</t>
  </si>
  <si>
    <t xml:space="preserve">https://www.researchgate.net/publication/349000430_ROS-NetSim_A_Framework_for_the_Integration_of_Robotic_and_Network_Simulators</t>
  </si>
  <si>
    <t xml:space="preserve">Sliding-window co-simulation; find an open copy.</t>
  </si>
  <si>
    <t xml:space="preserve">D0344</t>
  </si>
  <si>
    <t xml:space="preserve">Compares ROS-NetSim with CORNET, RoboNetSim, FlyNetSim.</t>
  </si>
  <si>
    <t xml:space="preserve">D0345</t>
  </si>
  <si>
    <t xml:space="preserve">FlyNetSim itself (ns-3 plus ArduPilot, ACM MSWiM 2018) has no URL yet.</t>
  </si>
  <si>
    <t xml:space="preserve">D0346</t>
  </si>
  <si>
    <t xml:space="preserve">Velocity-aware sliding window; Gazebo plus ns-3.</t>
  </si>
  <si>
    <t xml:space="preserve">D0347</t>
  </si>
  <si>
    <t xml:space="preserve">CORNET 2.0 (arXiv 2109.06979): Gazebo with Mininet-WiFi and Containernet</t>
  </si>
  <si>
    <t xml:space="preserve">Real IP stacks in containers, similar in spirit to CyberVAN.</t>
  </si>
  <si>
    <t xml:space="preserve">D0348</t>
  </si>
  <si>
    <t xml:space="preserve">Mininet-WiFi README</t>
  </si>
  <si>
    <t xml:space="preserve">https://github.com/intrig-unicamp/mininet-wifi</t>
  </si>
  <si>
    <t xml:space="preserve">Emulator repository.</t>
  </si>
  <si>
    <t xml:space="preserve">D0349</t>
  </si>
  <si>
    <t xml:space="preserve">JaxRobotarium (arXiv 2505.06771)</t>
  </si>
  <si>
    <t xml:space="preserve">GPU-accelerated Robotarium simulator with hardware deployment.</t>
  </si>
  <si>
    <t xml:space="preserve">D0350</t>
  </si>
  <si>
    <t xml:space="preserve">CARLA-Air platform paper (arXiv 2603.28032)</t>
  </si>
  <si>
    <t xml:space="preserve">Joint air-ground simulator continuing AirSim's flight stack.</t>
  </si>
  <si>
    <t xml:space="preserve">D0351</t>
  </si>
  <si>
    <t xml:space="preserve">CarlaAir repository</t>
  </si>
  <si>
    <t xml:space="preserve">https://github.com/louiszengCN/CarlaAir</t>
  </si>
  <si>
    <t xml:space="preserve">Prebuilt binaries and source.</t>
  </si>
  <si>
    <t xml:space="preserve">D0352</t>
  </si>
  <si>
    <t xml:space="preserve">Can Aerial VLA Models Cooperate? (arXiv 2605.31066)</t>
  </si>
  <si>
    <t xml:space="preserve">Benchmark results on air-ground coordination.</t>
  </si>
  <si>
    <t xml:space="preserve">D0353</t>
  </si>
  <si>
    <t xml:space="preserve">Running Tapestry OS on the Crazyflie (Bitcraze blog)</t>
  </si>
  <si>
    <t xml:space="preserve">Zephyr-based decentralized formation coordination; links the Tapestry repository.</t>
  </si>
  <si>
    <t xml:space="preserve">D0354</t>
  </si>
  <si>
    <t xml:space="preserve">PX4 ROS 2 User Guide (Zenoh section)</t>
  </si>
  <si>
    <t xml:space="preserve">Architecture: PX4 zenoh module on the flight controller, zenohd router on the companion computer.</t>
  </si>
  <si>
    <t xml:space="preserve">D0355</t>
  </si>
  <si>
    <t xml:space="preserve">micro-ROS documentation (Vulcanexus): Micro XRCE-DDS client and agent</t>
  </si>
  <si>
    <t xml:space="preserve">Middleware under both micro-ROS and the PX4 DDS bridge.</t>
  </si>
  <si>
    <t xml:space="preserve">D0356</t>
  </si>
  <si>
    <t xml:space="preserve">Foxglove fleet software overview</t>
  </si>
  <si>
    <t xml:space="preserve">Open-source SDK for non-ROS live data streaming.</t>
  </si>
  <si>
    <t xml:space="preserve">D0357</t>
  </si>
  <si>
    <t xml:space="preserve">The Unified Autonomy Stack: Toward a Blueprint for Generalizable Robot Autonomy (arXiv 2605.12735)</t>
  </si>
  <si>
    <t xml:space="preserve">https://arxiv.org/abs/2605.12735</t>
  </si>
  <si>
    <t xml:space="preserve">2026 comparison of autonomy frameworks including Aerostack2 and AirStack.</t>
  </si>
  <si>
    <t xml:space="preserve">D0358</t>
  </si>
  <si>
    <t xml:space="preserve">Unified Autonomy Stack paper (AirStack comparison)</t>
  </si>
  <si>
    <t xml:space="preserve">Describes AirStack as a modular aerial autonomy stack with a research-to-deployment pipeline; project repository not yet located.</t>
  </si>
  <si>
    <t xml:space="preserve">D0359</t>
  </si>
  <si>
    <t xml:space="preserve">PegasusSimulator AirStack integration fork (multi-agent ROS 2 backends)</t>
  </si>
  <si>
    <t xml:space="preserve">https://github.com/castacks/PegasusSimulator-AirStack-Integration</t>
  </si>
  <si>
    <t xml:space="preserve">Fork focused on multi-agent orchestration.</t>
  </si>
  <si>
    <t xml:space="preserve">D0360</t>
  </si>
  <si>
    <t xml:space="preserve">Buzz VM as a ROS node; cites consensus-behavior paper arXiv 1710.08843.</t>
  </si>
  <si>
    <t xml:space="preserve">D0361</t>
  </si>
  <si>
    <t xml:space="preserve">DISROPT repository</t>
  </si>
  <si>
    <t xml:space="preserve">https://github.com/OPT4SMART/disropt</t>
  </si>
  <si>
    <t xml:space="preserve">Distributed optimization library under ChoiRbot and CrazyChoir; repository seen in the OPT4SMART organization listing.</t>
  </si>
  <si>
    <t xml:space="preserve">D0362</t>
  </si>
  <si>
    <t xml:space="preserve">Runtime assurance combining collision-avoidance functions; planned for the SDK.</t>
  </si>
  <si>
    <t xml:space="preserve">D0363</t>
  </si>
  <si>
    <t xml:space="preserve">OFFSET Swarms Take Flight (HiveXL drone carrier)</t>
  </si>
  <si>
    <t xml:space="preserve">Automated launch, recovery, and charging for up to 80 drones.</t>
  </si>
  <si>
    <t xml:space="preserve">D0364</t>
  </si>
  <si>
    <t xml:space="preserve">Newton Physics product page (MuJoCo Warp section)</t>
  </si>
  <si>
    <t xml:space="preserve">GPU MuJoCo solver used inside Newton.</t>
  </si>
  <si>
    <t xml:space="preserve">D0365</t>
  </si>
  <si>
    <t xml:space="preserve">MuJoCo Playground</t>
  </si>
  <si>
    <t xml:space="preserve">https://playground.mujoco.org/</t>
  </si>
  <si>
    <t xml:space="preserve">URL seen in a TorchRL issue.</t>
  </si>
  <si>
    <t xml:space="preserve">D0366</t>
  </si>
  <si>
    <t xml:space="preserve">Anduril Industries deep dive (Menace section)</t>
  </si>
  <si>
    <t xml:space="preserve">https://medium.com/buvcg-research/anduril-industries-deep-dive-6949c7dd41c7</t>
  </si>
  <si>
    <t xml:space="preserve">Edge command post hosting Lattice in degraded communications.</t>
  </si>
  <si>
    <t xml:space="preserve">Technique</t>
  </si>
  <si>
    <t xml:space="preserve">Group</t>
  </si>
  <si>
    <t xml:space="preserve">Authoritative reference</t>
  </si>
  <si>
    <t xml:space="preserve">Reference type</t>
  </si>
  <si>
    <t xml:space="preserve">Software-in-the-loop testing</t>
  </si>
  <si>
    <t xml:space="preserve">Simulation and testing</t>
  </si>
  <si>
    <t xml:space="preserve">PX4 simulation documentation</t>
  </si>
  <si>
    <t xml:space="preserve">https://docs.px4.io/main/en/simulation/</t>
  </si>
  <si>
    <t xml:space="preserve">Documentation</t>
  </si>
  <si>
    <t xml:space="preserve">Hardware-in-the-loop testing</t>
  </si>
  <si>
    <t xml:space="preserve">PX4 hardware-in-the-loop simulation</t>
  </si>
  <si>
    <t xml:space="preserve">https://docs.px4.io/main/en/simulation/hitl.html</t>
  </si>
  <si>
    <t xml:space="preserve">Sim-to-real transfer</t>
  </si>
  <si>
    <t xml:space="preserve">Sim-to-Real Transfer in Deep RL for Robotics: a Survey (arXiv 2009.13303)</t>
  </si>
  <si>
    <t xml:space="preserve">https://arxiv.org/abs/2009.13303</t>
  </si>
  <si>
    <t xml:space="preserve">Survey</t>
  </si>
  <si>
    <t xml:space="preserve">Domain randomization</t>
  </si>
  <si>
    <t xml:space="preserve">Domain Randomization for Transferring Deep Neural Networks from Simulation to the Real World (arXiv 1703.06907)</t>
  </si>
  <si>
    <t xml:space="preserve">https://arxiv.org/abs/1703.06907</t>
  </si>
  <si>
    <t xml:space="preserve">Foundational paper</t>
  </si>
  <si>
    <t xml:space="preserve">System identification</t>
  </si>
  <si>
    <t xml:space="preserve">System identification (overview)</t>
  </si>
  <si>
    <t xml:space="preserve">https://en.wikipedia.org/wiki/System_identification</t>
  </si>
  <si>
    <t xml:space="preserve">Overview</t>
  </si>
  <si>
    <t xml:space="preserve">Digital twins</t>
  </si>
  <si>
    <t xml:space="preserve">Applied paper</t>
  </si>
  <si>
    <t xml:space="preserve">Gaussian-splatting rendering</t>
  </si>
  <si>
    <t xml:space="preserve">3D Gaussian Splatting for Real-Time Radiance Field Rendering (arXiv 2308.04079)</t>
  </si>
  <si>
    <t xml:space="preserve">https://arxiv.org/abs/2308.04079</t>
  </si>
  <si>
    <t xml:space="preserve">Ray tracing (radio and optical)</t>
  </si>
  <si>
    <t xml:space="preserve">Sionna RT documentation (links technical report)</t>
  </si>
  <si>
    <t xml:space="preserve">Navigation without satellite positioning</t>
  </si>
  <si>
    <t xml:space="preserve">Navigation and perception</t>
  </si>
  <si>
    <t xml:space="preserve">Visual simultaneous localization and mapping</t>
  </si>
  <si>
    <t xml:space="preserve">ORB-SLAM3 (arXiv 2007.11898)</t>
  </si>
  <si>
    <t xml:space="preserve">https://arxiv.org/abs/2007.11898</t>
  </si>
  <si>
    <t xml:space="preserve">Distributed simultaneous localization and mapping</t>
  </si>
  <si>
    <t xml:space="preserve">Kimera-Multi (arXiv 2106.14386)</t>
  </si>
  <si>
    <t xml:space="preserve">https://arxiv.org/abs/2106.14386</t>
  </si>
  <si>
    <t xml:space="preserve">Multi-robot map merging</t>
  </si>
  <si>
    <t xml:space="preserve">Reinforcement learning</t>
  </si>
  <si>
    <t xml:space="preserve">Learning</t>
  </si>
  <si>
    <t xml:space="preserve">Sutton and Barto, Reinforcement Learning: An Introduction (2nd ed.)</t>
  </si>
  <si>
    <t xml:space="preserve">http://incompleteideas.net/book/the-book-2nd.html</t>
  </si>
  <si>
    <t xml:space="preserve">Textbook (free online)</t>
  </si>
  <si>
    <t xml:space="preserve">Imitation learning</t>
  </si>
  <si>
    <t xml:space="preserve">An Algorithmic Perspective on Imitation Learning (arXiv 1811.06711)</t>
  </si>
  <si>
    <t xml:space="preserve">https://arxiv.org/abs/1811.06711</t>
  </si>
  <si>
    <t xml:space="preserve">Multi-agent reinforcement learning</t>
  </si>
  <si>
    <t xml:space="preserve">Multi-Agent Reinforcement Learning: Foundations and Modern Approaches</t>
  </si>
  <si>
    <t xml:space="preserve">https://www.marl-book.com/</t>
  </si>
  <si>
    <t xml:space="preserve">Federated learning</t>
  </si>
  <si>
    <t xml:space="preserve">Communication-Efficient Learning of Deep Networks from Decentralized Data (arXiv 1602.05629)</t>
  </si>
  <si>
    <t xml:space="preserve">https://arxiv.org/abs/1602.05629</t>
  </si>
  <si>
    <t xml:space="preserve">Shielded reinforcement learning</t>
  </si>
  <si>
    <t xml:space="preserve">Safe Reinforcement Learning via Shielding (arXiv 1708.08611)</t>
  </si>
  <si>
    <t xml:space="preserve">https://arxiv.org/abs/1708.08611</t>
  </si>
  <si>
    <t xml:space="preserve">Model distillation</t>
  </si>
  <si>
    <t xml:space="preserve">Distilling the Knowledge in a Neural Network (arXiv 1503.02531)</t>
  </si>
  <si>
    <t xml:space="preserve">https://arxiv.org/abs/1503.02531</t>
  </si>
  <si>
    <t xml:space="preserve">Quantization</t>
  </si>
  <si>
    <t xml:space="preserve">Quantization and Training of Neural Networks for Integer-Arithmetic-Only Inference (arXiv 1712.05877)</t>
  </si>
  <si>
    <t xml:space="preserve">https://arxiv.org/abs/1712.05877</t>
  </si>
  <si>
    <t xml:space="preserve">Split computing</t>
  </si>
  <si>
    <t xml:space="preserve">Split Computing and Early Exiting for Deep Learning Applications: Survey (arXiv 2103.04505)</t>
  </si>
  <si>
    <t xml:space="preserve">https://arxiv.org/abs/2103.04505</t>
  </si>
  <si>
    <t xml:space="preserve">Task auctions</t>
  </si>
  <si>
    <t xml:space="preserve">Coordination and control</t>
  </si>
  <si>
    <t xml:space="preserve">Consensus-Based Decentralized Auctions for Robust Task Allocation (IEEE T-RO 2009)</t>
  </si>
  <si>
    <t xml:space="preserve">https://doi.org/10.1109/TRO.2009.2022423</t>
  </si>
  <si>
    <t xml:space="preserve">Consensus-based bundle algorithms</t>
  </si>
  <si>
    <t xml:space="preserve">Consensus and distributed optimization</t>
  </si>
  <si>
    <t xml:space="preserve">Tutorial survey</t>
  </si>
  <si>
    <t xml:space="preserve">Distributed model predictive control</t>
  </si>
  <si>
    <t xml:space="preserve">Formation control</t>
  </si>
  <si>
    <t xml:space="preserve">A survey of multi-agent formation control (Automatica 2015)</t>
  </si>
  <si>
    <t xml:space="preserve">https://doi.org/10.1016/j.automatica.2014.10.022</t>
  </si>
  <si>
    <t xml:space="preserve">Flocking</t>
  </si>
  <si>
    <t xml:space="preserve">Flocking for Multi-Agent Dynamic Systems: Algorithms and Theory (IEEE TAC 2006)</t>
  </si>
  <si>
    <t xml:space="preserve">https://doi.org/10.1109/TAC.2005.864190</t>
  </si>
  <si>
    <t xml:space="preserve">Event-triggered control</t>
  </si>
  <si>
    <t xml:space="preserve">An Introduction to Event-triggered and Self-triggered Control (CDC 2012)</t>
  </si>
  <si>
    <t xml:space="preserve">https://doi.org/10.1109/CDC.2012.6425820</t>
  </si>
  <si>
    <t xml:space="preserve">Virtual stigmergy</t>
  </si>
  <si>
    <t xml:space="preserve">Swarm-specific ideas</t>
  </si>
  <si>
    <t xml:space="preserve">Buzz (arXiv 1507.05946)</t>
  </si>
  <si>
    <t xml:space="preserve">Nested autonomy</t>
  </si>
  <si>
    <t xml:space="preserve">Nested Autonomy for Unmanned Marine Vehicles with MOOS-IvP (DTIC copy)</t>
  </si>
  <si>
    <t xml:space="preserve">Coverage control with Voronoi partitioning</t>
  </si>
  <si>
    <t xml:space="preserve">Coverage Control for Mobile Sensing Networks (IEEE T-RA 2004)</t>
  </si>
  <si>
    <t xml:space="preserve">https://doi.org/10.1109/TRA.2004.824698</t>
  </si>
  <si>
    <t xml:space="preserve">Mean-field and graphon mean-field control</t>
  </si>
  <si>
    <t xml:space="preserve">Graphon mean-field control (arXiv 2209.04808)</t>
  </si>
  <si>
    <t xml:space="preserve">https://arxiv.org/abs/2209.04808</t>
  </si>
  <si>
    <t xml:space="preserve">Permutation-invariant policies</t>
  </si>
  <si>
    <t xml:space="preserve">Deep Sets (arXiv 1703.06114)</t>
  </si>
  <si>
    <t xml:space="preserve">https://arxiv.org/abs/1703.06114</t>
  </si>
  <si>
    <t xml:space="preserve">Graph neural network policies</t>
  </si>
  <si>
    <t xml:space="preserve">Graph Neural Networks for Decentralized Multi-Robot Path Planning (arXiv 1912.06095)</t>
  </si>
  <si>
    <t xml:space="preserve">https://arxiv.org/abs/1912.06095</t>
  </si>
  <si>
    <t xml:space="preserve">Conflict-free replicated data types</t>
  </si>
  <si>
    <t xml:space="preserve">Shared state and communication</t>
  </si>
  <si>
    <t xml:space="preserve">Conflict-free Replicated Data Types (INRIA report, Shapiro et al. 2011)</t>
  </si>
  <si>
    <t xml:space="preserve">https://hal.inria.fr/inria-00609399</t>
  </si>
  <si>
    <t xml:space="preserve">Eventual consistency</t>
  </si>
  <si>
    <t xml:space="preserve">Eventually Consistent (Vogels, CACM 2009)</t>
  </si>
  <si>
    <t xml:space="preserve">https://doi.org/10.1145/1435417.1435432</t>
  </si>
  <si>
    <t xml:space="preserve">Foundational article</t>
  </si>
  <si>
    <t xml:space="preserve">Gossip and epidemic protocols</t>
  </si>
  <si>
    <t xml:space="preserve">Epidemic Algorithms for Replicated Database Maintenance (PODC 1987)</t>
  </si>
  <si>
    <t xml:space="preserve">https://doi.org/10.1145/41840.41841</t>
  </si>
  <si>
    <t xml:space="preserve">Age-of-information scheduling</t>
  </si>
  <si>
    <t xml:space="preserve">Real-time status: How often should one update? (INFOCOM 2012)</t>
  </si>
  <si>
    <t xml:space="preserve">https://doi.org/10.1109/INFCOM.2012.6195689</t>
  </si>
  <si>
    <t xml:space="preserve">Semantic and goal-oriented communication</t>
  </si>
  <si>
    <t xml:space="preserve">Goal-oriented communication in multi-agent systems overview (arXiv 2508.07720)</t>
  </si>
  <si>
    <t xml:space="preserve">https://arxiv.org/abs/2508.07720</t>
  </si>
  <si>
    <t xml:space="preserve">Intent-based networking</t>
  </si>
  <si>
    <t xml:space="preserve">RFC 9315: Intent-Based Networking Concepts and Definitions</t>
  </si>
  <si>
    <t xml:space="preserve">https://www.rfc-editor.org/rfc/rfc9315</t>
  </si>
  <si>
    <t xml:space="preserve">Mobile ad-hoc networks</t>
  </si>
  <si>
    <t xml:space="preserve">RFC 2501: Mobile Ad hoc Networking (MANET)</t>
  </si>
  <si>
    <t xml:space="preserve">https://www.rfc-editor.org/rfc/rfc2501</t>
  </si>
  <si>
    <t xml:space="preserve">Linear temporal logic</t>
  </si>
  <si>
    <t xml:space="preserve">Mission specification</t>
  </si>
  <si>
    <t xml:space="preserve">Linear temporal logic (overview)</t>
  </si>
  <si>
    <t xml:space="preserve">https://en.wikipedia.org/wiki/Linear_temporal_logic</t>
  </si>
  <si>
    <t xml:space="preserve">Process algebra</t>
  </si>
  <si>
    <t xml:space="preserve">OpenUxAS README (process-algebra mission specification)</t>
  </si>
  <si>
    <t xml:space="preserve">Applied documentation</t>
  </si>
  <si>
    <t xml:space="preserve">TAEMS (Task Analysis, Environment Modeling, and Simulation)</t>
  </si>
  <si>
    <t xml:space="preserve">Hierarchical trees for heterogeneous mission planning, TAEMS-inspired (arXiv 2501.16539)</t>
  </si>
  <si>
    <t xml:space="preserve">https://arxiv.org/abs/2501.16539</t>
  </si>
  <si>
    <t xml:space="preserve">Conformal prediction for planners</t>
  </si>
  <si>
    <t xml:space="preserve">KnowNo (arXiv 2307.01928)</t>
  </si>
  <si>
    <t xml:space="preserve">Program synthesis from natural language</t>
  </si>
  <si>
    <t xml:space="preserve">Byzantine fault tolerance</t>
  </si>
  <si>
    <t xml:space="preserve">Security</t>
  </si>
  <si>
    <t xml:space="preserve">Practical Byzantine Fault Tolerance (OSDI 1999)</t>
  </si>
  <si>
    <t xml:space="preserve">https://pmg.csail.mit.edu/papers/osdi99.pdf</t>
  </si>
  <si>
    <t xml:space="preserve">Resilient consensus (mean-subsequence-reduced algorithms)</t>
  </si>
  <si>
    <t xml:space="preserve">Resilient Asymptotic Consensus in Robust Networks (IEEE JSAC 2013)</t>
  </si>
  <si>
    <t xml:space="preserve">https://doi.org/10.1109/JSAC.2013.130413</t>
  </si>
  <si>
    <t xml:space="preserve">Jamming-resilient multipath routing</t>
  </si>
  <si>
    <t xml:space="preserve">Secure wireless mesh for UAV swarms (arXiv 2108.13154)</t>
  </si>
  <si>
    <t xml:space="preserve">https://arxiv.org/abs/2108.13154</t>
  </si>
  <si>
    <t xml:space="preserve">Physically unclonable functions</t>
  </si>
  <si>
    <t xml:space="preserve">Physical unclonable function (overview)</t>
  </si>
  <si>
    <t xml:space="preserve">https://en.wikipedia.org/wiki/Physical_unclonable_function</t>
  </si>
  <si>
    <t xml:space="preserve">Zero-trust architecture</t>
  </si>
  <si>
    <t xml:space="preserve">NIST SP 800-207: Zero Trust Architecture</t>
  </si>
  <si>
    <t xml:space="preserve">https://csrc.nist.gov/pubs/sp/800/207/final</t>
  </si>
  <si>
    <t xml:space="preserve">Adversarial machine learning</t>
  </si>
  <si>
    <t xml:space="preserve">Explaining and Harnessing Adversarial Examples (arXiv 1412.6572)</t>
  </si>
  <si>
    <t xml:space="preserve">https://arxiv.org/abs/1412.6572</t>
  </si>
  <si>
    <t xml:space="preserve">Runtime verification</t>
  </si>
  <si>
    <t xml:space="preserve">Assurance</t>
  </si>
  <si>
    <t xml:space="preserve">Runtime verification (overview)</t>
  </si>
  <si>
    <t xml:space="preserve">https://en.wikipedia.org/wiki/Runtime_verification</t>
  </si>
  <si>
    <t xml:space="preserve">Simplex runtime-assurance architecture</t>
  </si>
  <si>
    <t xml:space="preserve">Using Simplicity to Control Complexity (IEEE Software 2001)</t>
  </si>
  <si>
    <t xml:space="preserve">https://doi.org/10.1109/MS.2001.936213</t>
  </si>
  <si>
    <t xml:space="preserve">Statistical model checking</t>
  </si>
  <si>
    <t xml:space="preserve">Statistical model checking (overview)</t>
  </si>
  <si>
    <t xml:space="preserve">https://en.wikipedia.org/wiki/Statistical_model_checking</t>
  </si>
  <si>
    <t xml:space="preserve">Over-the-air software updates</t>
  </si>
  <si>
    <t xml:space="preserve">Operations</t>
  </si>
  <si>
    <t xml:space="preserve">SwarmUpdate (arXiv 2503.13784)</t>
  </si>
  <si>
    <t xml:space="preserve">Quality-of-service negotiation</t>
  </si>
  <si>
    <t xml:space="preserve">ROS 2 Quality of Service settings</t>
  </si>
  <si>
    <t xml:space="preserve">https://docs.ros.org/en/jazzy/Concepts/About-Quality-of-Service-Settings.html</t>
  </si>
  <si>
    <t xml:space="preserve">Energy harvesting</t>
  </si>
  <si>
    <t xml:space="preserve">Energy harvesting (overview)</t>
  </si>
  <si>
    <t xml:space="preserve">https://en.wikipedia.org/wiki/Energy_harvesting</t>
  </si>
  <si>
    <t xml:space="preserve">Mobile recharging</t>
  </si>
  <si>
    <t xml:space="preserve">Congestion Analysis for the DARPA OFFSET CCAST Swarm (battery and recovery logistics)</t>
  </si>
  <si>
    <t xml:space="preserve">How to collect</t>
  </si>
  <si>
    <t xml:space="preserve">Output</t>
  </si>
  <si>
    <t xml:space="preserve">Fetch the raw file (raw.githubusercontent.com/&lt;owner&gt;/&lt;repo&gt;/&lt;branch&gt;/README.md) or use the GitHub API README endpoint. Record the commit hash.</t>
  </si>
  <si>
    <t xml:space="preserve">Markdown as-is</t>
  </si>
  <si>
    <t xml:space="preserve">Shallow clone and keep only the documentation folder (Markdown or reStructuredText). Usually cleaner than crawling the rendered site.</t>
  </si>
  <si>
    <t xml:space="preserve">Markdown; convert reStructuredText with Pandoc</t>
  </si>
  <si>
    <t xml:space="preserve">Call the GitHub releases API and store each release body with its tag and date.</t>
  </si>
  <si>
    <t xml:space="preserve">Markdown, one file per release or one combined file</t>
  </si>
  <si>
    <t xml:space="preserve">List repositories in the organization via the API, filter by relevance, then fetch each README.</t>
  </si>
  <si>
    <t xml:space="preserve">First check /llms.txt or /llms-full.txt; then sitemap.xml; otherwise a same-domain crawl limited to the URL prefix given. Pin one version for versioned docs. Strip navigation chrome.</t>
  </si>
  <si>
    <t xml:space="preserve">HTML converted to Markdown, one file per page</t>
  </si>
  <si>
    <t xml:space="preserve">Use the arXiv identifier: fetch the PDF (arxiv.org/pdf/&lt;id&gt;) and metadata from the arXiv API. The HTML version, when available, extracts more cleanly than the PDF.</t>
  </si>
  <si>
    <t xml:space="preserve">Extracted text plus metadata</t>
  </si>
  <si>
    <t xml:space="preserve">Download and extract text (for example with PyMuPDF); keep the original PDF alongside.</t>
  </si>
  <si>
    <t xml:space="preserve">Extracted text plus original PDF</t>
  </si>
  <si>
    <t xml:space="preserve">Fetch a single page and convert the main content to Markdown (for example with trafilatura or Readability).</t>
  </si>
  <si>
    <t xml:space="preserve">Paywalled, gated, internal, or bot-blocked. Obtain through a subscription, vendor relationship, internal channel, or an open-access copy, then drop into the ingest folder.</t>
  </si>
  <si>
    <t xml:space="preserve">Whatever is obtained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</si>
</sst>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General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u val="single"/>
      <sz val="10"/>
      <color rgb="FF0563C1"/>
      <name val="Arial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FDE2E1"/>
        <bgColor rgb="FFFFF4CC"/>
      </patternFill>
    </fill>
    <fill>
      <patternFill patternType="solid">
        <fgColor rgb="FFFFF4CC"/>
        <bgColor rgb="FFFDE2E1"/>
      </patternFill>
    </fill>
    <fill>
      <patternFill patternType="solid">
        <fgColor rgb="FFE8F1FB"/>
        <bgColor rgb="FFE6F4EA"/>
      </patternFill>
    </fill>
    <fill>
      <patternFill patternType="solid">
        <fgColor rgb="FFE6F4EA"/>
        <bgColor rgb="FFE8F1FB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4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5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5" fillId="6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5" fontId="5" fillId="0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5" fontId="5" fillId="6" borderId="0" xfId="0" applyFont="true" applyBorder="false" applyAlignment="true" applyProtection="true">
      <alignment horizontal="center" vertical="top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6F4EA"/>
          <bgColor rgb="FF000000"/>
        </patternFill>
      </fill>
    </dxf>
    <dxf>
      <fill>
        <patternFill patternType="solid">
          <fgColor rgb="FFE8F1FB"/>
          <bgColor rgb="FF000000"/>
        </patternFill>
      </fill>
    </dxf>
    <dxf>
      <fill>
        <patternFill patternType="solid">
          <fgColor rgb="FFFDE2E1"/>
          <bgColor rgb="FF000000"/>
        </patternFill>
      </fill>
    </dxf>
    <dxf>
      <fill>
        <patternFill patternType="solid">
          <fgColor rgb="FFFFF4CC"/>
          <bgColor rgb="FF000000"/>
        </patternFill>
      </fill>
    </dxf>
    <dxf>
      <fill>
        <patternFill patternType="solid">
          <fgColor rgb="FF0563C1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4CC"/>
      <rgbColor rgb="FFE6F4EA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8F1FB"/>
      <rgbColor rgb="FFCCFFCC"/>
      <rgbColor rgb="FFFFFF99"/>
      <rgbColor rgb="FF99CCFF"/>
      <rgbColor rgb="FFFF99CC"/>
      <rgbColor rgb="FFCC99FF"/>
      <rgbColor rgb="FFFDE2E1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Documents" displayName="Documents" ref="A1:L367" headerRowCount="1" totalsRowCount="0" totalsRowShown="0">
  <autoFilter ref="A1:L367"/>
  <tableColumns count="12">
    <tableColumn id="1" name="Doc ID"/>
    <tableColumn id="2" name="Technology"/>
    <tableColumn id="3" name="Document title"/>
    <tableColumn id="4" name="Document type"/>
    <tableColumn id="5" name="URL"/>
    <tableColumn id="6" name="Format"/>
    <tableColumn id="7" name="Access"/>
    <tableColumn id="8" name="Scrape method"/>
    <tableColumn id="9" name="Priority"/>
    <tableColumn id="10" name="Top 3 rank"/>
    <tableColumn id="11" name="Verified"/>
    <tableColumn id="12" name="What it covers / notes"/>
  </tableColumns>
</table>
</file>

<file path=xl/tables/table2.xml><?xml version="1.0" encoding="utf-8"?>
<table xmlns="http://schemas.openxmlformats.org/spreadsheetml/2006/main" id="2" name="ReportChanges" displayName="ReportChanges" ref="A1:G39" headerRowCount="1" totalsRowCount="0" totalsRowShown="0">
  <autoFilter ref="A1:G39"/>
  <tableColumns count="7">
    <tableColumn id="1" name="Change ID"/>
    <tableColumn id="2" name="Type"/>
    <tableColumn id="3" name="Report section"/>
    <tableColumn id="4" name="Technology"/>
    <tableColumn id="5" name="What changed or what to add"/>
    <tableColumn id="6" name="Evidence"/>
    <tableColumn id="7" name="Suggested action"/>
  </tableColumns>
</table>
</file>

<file path=xl/tables/table3.xml><?xml version="1.0" encoding="utf-8"?>
<table xmlns="http://schemas.openxmlformats.org/spreadsheetml/2006/main" id="3" name="ScrapeMethods" displayName="ScrapeMethods" ref="A1:C10" headerRowCount="1" totalsRowCount="0" totalsRowShown="0">
  <autoFilter ref="A1:C10"/>
  <tableColumns count="3">
    <tableColumn id="1" name="Scrape method"/>
    <tableColumn id="2" name="How to collect"/>
    <tableColumn id="3" name="Output"/>
  </tableColumns>
</table>
</file>

<file path=xl/tables/table4.xml><?xml version="1.0" encoding="utf-8"?>
<table xmlns="http://schemas.openxmlformats.org/spreadsheetml/2006/main" id="4" name="Techniques" displayName="Techniques" ref="A1:F59" headerRowCount="1" totalsRowCount="0" totalsRowShown="0">
  <autoFilter ref="A1:F59"/>
  <tableColumns count="6">
    <tableColumn id="1" name="Technique"/>
    <tableColumn id="2" name="Group"/>
    <tableColumn id="3" name="Authoritative reference"/>
    <tableColumn id="4" name="URL"/>
    <tableColumn id="5" name="Reference type"/>
    <tableColumn id="6" name="Verified"/>
  </tableColumns>
</table>
</file>

<file path=xl/tables/table5.xml><?xml version="1.0" encoding="utf-8"?>
<table xmlns="http://schemas.openxmlformats.org/spreadsheetml/2006/main" id="5" name="Technologies" displayName="Technologies" ref="A1:N156" headerRowCount="1" totalsRowCount="0" totalsRowShown="0">
  <autoFilter ref="A1:N156"/>
  <tableColumns count="14">
    <tableColumn id="1" name="Technology"/>
    <tableColumn id="2" name="Category"/>
    <tableColumn id="3" name="Layers"/>
    <tableColumn id="4" name="License"/>
    <tableColumn id="5" name="Domains"/>
    <tableColumn id="6" name="Open source or commercial"/>
    <tableColumn id="7" name="Maintenance status"/>
    <tableColumn id="8" name="Popularity"/>
    <tableColumn id="9" name="In report"/>
    <tableColumn id="10" name="In slide deck"/>
    <tableColumn id="11" name="Batch"/>
    <tableColumn id="12" name="Documents found"/>
    <tableColumn id="13" name="Top 3 found"/>
    <tableColumn id="14" name="Notes"/>
  </tableColumns>
</table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hyperlink" Target="https://github.com/PX4/PX4-Autopilot/blob/main/README.md" TargetMode="External"/><Relationship Id="rId2" Type="http://schemas.openxmlformats.org/officeDocument/2006/relationships/hyperlink" Target="https://docs.px4.io/main/en/" TargetMode="External"/><Relationship Id="rId3" Type="http://schemas.openxmlformats.org/officeDocument/2006/relationships/hyperlink" Target="https://docs.px4.io/main/en/sim_gazebo_gz/multi_vehicle_simulation" TargetMode="External"/><Relationship Id="rId4" Type="http://schemas.openxmlformats.org/officeDocument/2006/relationships/hyperlink" Target="https://docs.px4.io/v1.14/en/ros/ros2_multi_vehicle" TargetMode="External"/><Relationship Id="rId5" Type="http://schemas.openxmlformats.org/officeDocument/2006/relationships/hyperlink" Target="https://github.com/PX4/PX4-user_guide" TargetMode="External"/><Relationship Id="rId6" Type="http://schemas.openxmlformats.org/officeDocument/2006/relationships/hyperlink" Target="https://github.com/ArduPilot/ardupilot/blob/master/README.md" TargetMode="External"/><Relationship Id="rId7" Type="http://schemas.openxmlformats.org/officeDocument/2006/relationships/hyperlink" Target="https://ardupilot.org/dev/" TargetMode="External"/><Relationship Id="rId8" Type="http://schemas.openxmlformats.org/officeDocument/2006/relationships/hyperlink" Target="https://ardupilot.org/dev/docs/learning-the-ardupilot-codebase.html" TargetMode="External"/><Relationship Id="rId9" Type="http://schemas.openxmlformats.org/officeDocument/2006/relationships/hyperlink" Target="https://github.com/ArduPilot/ardupilot_wiki" TargetMode="External"/><Relationship Id="rId10" Type="http://schemas.openxmlformats.org/officeDocument/2006/relationships/hyperlink" Target="https://docs.skybrush.io/public/skybrush-firmware-doc/latest/index.html" TargetMode="External"/><Relationship Id="rId11" Type="http://schemas.openxmlformats.org/officeDocument/2006/relationships/hyperlink" Target="https://skybrush.io/blog/2025-10-20-firmware-update/" TargetMode="External"/><Relationship Id="rId12" Type="http://schemas.openxmlformats.org/officeDocument/2006/relationships/hyperlink" Target="https://github.com/bitcraze/crazyflie-firmware" TargetMode="External"/><Relationship Id="rId13" Type="http://schemas.openxmlformats.org/officeDocument/2006/relationships/hyperlink" Target="https://github.com/bitcraze/crazyflie-firmware/releases" TargetMode="External"/><Relationship Id="rId14" Type="http://schemas.openxmlformats.org/officeDocument/2006/relationships/hyperlink" Target="https://www.bitcraze.io/2026/09/running-tapestry-os-on-the-crazyflie-collective-behavior-without-writing-firmware/" TargetMode="External"/><Relationship Id="rId15" Type="http://schemas.openxmlformats.org/officeDocument/2006/relationships/hyperlink" Target="https://github.com/betaflight/betaflight" TargetMode="External"/><Relationship Id="rId16" Type="http://schemas.openxmlformats.org/officeDocument/2006/relationships/hyperlink" Target="https://github.com/iNavFlight/inav" TargetMode="External"/><Relationship Id="rId17" Type="http://schemas.openxmlformats.org/officeDocument/2006/relationships/hyperlink" Target="https://docs.px4.io/main/en/middleware/uxrce_dds" TargetMode="External"/><Relationship Id="rId18" Type="http://schemas.openxmlformats.org/officeDocument/2006/relationships/hyperlink" Target="https://docs.px4.io/main/en/ros2/user_guide" TargetMode="External"/><Relationship Id="rId19" Type="http://schemas.openxmlformats.org/officeDocument/2006/relationships/hyperlink" Target="https://github.com/ctu-mrs/mrs_uav_system" TargetMode="External"/><Relationship Id="rId20" Type="http://schemas.openxmlformats.org/officeDocument/2006/relationships/hyperlink" Target="https://arxiv.org/abs/2008.08050" TargetMode="External"/><Relationship Id="rId21" Type="http://schemas.openxmlformats.org/officeDocument/2006/relationships/hyperlink" Target="https://ctu-mrs.github.io/" TargetMode="External"/><Relationship Id="rId22" Type="http://schemas.openxmlformats.org/officeDocument/2006/relationships/hyperlink" Target="https://github.com/ctu-mrs/ctu-mrs.github.io" TargetMode="External"/><Relationship Id="rId23" Type="http://schemas.openxmlformats.org/officeDocument/2006/relationships/hyperlink" Target="https://github.com/ros-navigation/navigation2" TargetMode="External"/><Relationship Id="rId24" Type="http://schemas.openxmlformats.org/officeDocument/2006/relationships/hyperlink" Target="https://docs.nav2.org/" TargetMode="External"/><Relationship Id="rId25" Type="http://schemas.openxmlformats.org/officeDocument/2006/relationships/hyperlink" Target="https://github.com/ros-navigation/docs.nav2.org" TargetMode="External"/><Relationship Id="rId26" Type="http://schemas.openxmlformats.org/officeDocument/2006/relationships/hyperlink" Target="https://github.com/ros-planning/navigation2/blob/main/nav2_bringup/README.md" TargetMode="External"/><Relationship Id="rId27" Type="http://schemas.openxmlformats.org/officeDocument/2006/relationships/hyperlink" Target="https://oceanai.mit.edu/moos-ivp-pdf/moosivp-helm.pdf" TargetMode="External"/><Relationship Id="rId28" Type="http://schemas.openxmlformats.org/officeDocument/2006/relationships/hyperlink" Target="https://apps.dtic.mil/sti/tr/pdf/ADA559856.pdf" TargetMode="External"/><Relationship Id="rId29" Type="http://schemas.openxmlformats.org/officeDocument/2006/relationships/hyperlink" Target="https://moos-ivp.org/" TargetMode="External"/><Relationship Id="rId30" Type="http://schemas.openxmlformats.org/officeDocument/2006/relationships/hyperlink" Target="https://github.com/moos-ivp/moos-ivp" TargetMode="External"/><Relationship Id="rId31" Type="http://schemas.openxmlformats.org/officeDocument/2006/relationships/hyperlink" Target="https://onlinelibrary.wiley.com/doi/abs/10.1002/rob.20370" TargetMode="External"/><Relationship Id="rId32" Type="http://schemas.openxmlformats.org/officeDocument/2006/relationships/hyperlink" Target="https://autowarefoundation.github.io/autoware-documentation/" TargetMode="External"/><Relationship Id="rId33" Type="http://schemas.openxmlformats.org/officeDocument/2006/relationships/hyperlink" Target="https://github.com/autowarefoundation/autoware" TargetMode="External"/><Relationship Id="rId34" Type="http://schemas.openxmlformats.org/officeDocument/2006/relationships/hyperlink" Target="https://nvidia-isaac-ros.github.io/" TargetMode="External"/><Relationship Id="rId35" Type="http://schemas.openxmlformats.org/officeDocument/2006/relationships/hyperlink" Target="https://github.com/NVIDIA-ISAAC-ROS/isaac_ros_visual_slam" TargetMode="External"/><Relationship Id="rId36" Type="http://schemas.openxmlformats.org/officeDocument/2006/relationships/hyperlink" Target="https://github.com/NVIDIA-ISAAC-ROS/isaac_ros_nvblox" TargetMode="External"/><Relationship Id="rId37" Type="http://schemas.openxmlformats.org/officeDocument/2006/relationships/hyperlink" Target="https://github.com/nvidia-isaac/cuVSLAM" TargetMode="External"/><Relationship Id="rId38" Type="http://schemas.openxmlformats.org/officeDocument/2006/relationships/hyperlink" Target="https://nvidia-isaac-ros.github.io/v/release-2.1/concepts/visual_slam/cuvslam/index.html" TargetMode="External"/><Relationship Id="rId39" Type="http://schemas.openxmlformats.org/officeDocument/2006/relationships/hyperlink" Target="https://nvidia-isaac-ros.github.io/v/release-3.1/repositories_and_packages/isaac_ros_nvblox/index.html" TargetMode="External"/><Relationship Id="rId40" Type="http://schemas.openxmlformats.org/officeDocument/2006/relationships/hyperlink" Target="https://nvidia-isaac-ros.github.io/repositories_and_packages/isaac_ros_nitros/index.html" TargetMode="External"/><Relationship Id="rId41" Type="http://schemas.openxmlformats.org/officeDocument/2006/relationships/hyperlink" Target="https://github.com/NVIDIA-ISAAC-ROS/isaac_ros_nitros" TargetMode="External"/><Relationship Id="rId42" Type="http://schemas.openxmlformats.org/officeDocument/2006/relationships/hyperlink" Target="https://docs.ros.org/en/jazzy/" TargetMode="External"/><Relationship Id="rId43" Type="http://schemas.openxmlformats.org/officeDocument/2006/relationships/hyperlink" Target="https://docs.ros.org/en/jazzy/Concepts/Basic/About-Discovery.html" TargetMode="External"/><Relationship Id="rId44" Type="http://schemas.openxmlformats.org/officeDocument/2006/relationships/hyperlink" Target="https://docs.ros.org/en/jazzy/Tutorials/Advanced/Improved-Dynamic-Discovery.html" TargetMode="External"/><Relationship Id="rId45" Type="http://schemas.openxmlformats.org/officeDocument/2006/relationships/hyperlink" Target="https://docs.ros.org/en/jazzy/Tutorials/Advanced/Discovery-Server/Discovery-Server.html" TargetMode="External"/><Relationship Id="rId46" Type="http://schemas.openxmlformats.org/officeDocument/2006/relationships/hyperlink" Target="https://docs.ros.org/en/jazzy/Concepts/Advanced/About-Middleware-Implementations.html" TargetMode="External"/><Relationship Id="rId47" Type="http://schemas.openxmlformats.org/officeDocument/2006/relationships/hyperlink" Target="https://wiki.ros.org/" TargetMode="External"/><Relationship Id="rId48" Type="http://schemas.openxmlformats.org/officeDocument/2006/relationships/hyperlink" Target="https://docs.ros.org/en/jazzy/Concepts/Intermediate/About-Different-Middleware-Vendors.html" TargetMode="External"/><Relationship Id="rId49" Type="http://schemas.openxmlformats.org/officeDocument/2006/relationships/hyperlink" Target="https://github.com/ros2/rmw_zenoh" TargetMode="External"/><Relationship Id="rId50" Type="http://schemas.openxmlformats.org/officeDocument/2006/relationships/hyperlink" Target="https://github.com/ros2/rmw_zenoh/blob/rolling/docs/design.md" TargetMode="External"/><Relationship Id="rId51" Type="http://schemas.openxmlformats.org/officeDocument/2006/relationships/hyperlink" Target="https://github.com/ros2/rmw_zenoh/tree/jazzy" TargetMode="External"/><Relationship Id="rId52" Type="http://schemas.openxmlformats.org/officeDocument/2006/relationships/hyperlink" Target="https://docs.px4.io/main/en/ros2/user_guide" TargetMode="External"/><Relationship Id="rId53" Type="http://schemas.openxmlformats.org/officeDocument/2006/relationships/hyperlink" Target="https://aliasrobotics.com/files/SROS2.pdf" TargetMode="External"/><Relationship Id="rId54" Type="http://schemas.openxmlformats.org/officeDocument/2006/relationships/hyperlink" Target="https://index.ros.org/p/sros2/" TargetMode="External"/><Relationship Id="rId55" Type="http://schemas.openxmlformats.org/officeDocument/2006/relationships/hyperlink" Target="https://osrf.github.io/ros2multirobotbook/security.html" TargetMode="External"/><Relationship Id="rId56" Type="http://schemas.openxmlformats.org/officeDocument/2006/relationships/hyperlink" Target="https://micro.vulcanexus.org/docs/overview/features/" TargetMode="External"/><Relationship Id="rId57" Type="http://schemas.openxmlformats.org/officeDocument/2006/relationships/hyperlink" Target="https://github.com/micro-ROS/micro-ros.github.io" TargetMode="External"/><Relationship Id="rId58" Type="http://schemas.openxmlformats.org/officeDocument/2006/relationships/hyperlink" Target="https://github.com/micro-ROS/micro-ROS-Agent" TargetMode="External"/><Relationship Id="rId59" Type="http://schemas.openxmlformats.org/officeDocument/2006/relationships/hyperlink" Target="https://docs.vulcanexus.org/en/latest/rst/microros_documentation/index.html" TargetMode="External"/><Relationship Id="rId60" Type="http://schemas.openxmlformats.org/officeDocument/2006/relationships/hyperlink" Target="https://github.com/themoos/core-moos" TargetMode="External"/><Relationship Id="rId61" Type="http://schemas.openxmlformats.org/officeDocument/2006/relationships/hyperlink" Target="https://mavlink.io/en/" TargetMode="External"/><Relationship Id="rId62" Type="http://schemas.openxmlformats.org/officeDocument/2006/relationships/hyperlink" Target="https://mavlink.io/README.html" TargetMode="External"/><Relationship Id="rId63" Type="http://schemas.openxmlformats.org/officeDocument/2006/relationships/hyperlink" Target="https://github.com/mavlink/MAVSDK" TargetMode="External"/><Relationship Id="rId64" Type="http://schemas.openxmlformats.org/officeDocument/2006/relationships/hyperlink" Target="https://github.com/mavlink/MAVSDK-docs" TargetMode="External"/><Relationship Id="rId65" Type="http://schemas.openxmlformats.org/officeDocument/2006/relationships/hyperlink" Target="https://dronecode.org/sdk/" TargetMode="External"/><Relationship Id="rId66" Type="http://schemas.openxmlformats.org/officeDocument/2006/relationships/hyperlink" Target="https://github.com/mavlink/mavros/blob/ros2/README.md" TargetMode="External"/><Relationship Id="rId67" Type="http://schemas.openxmlformats.org/officeDocument/2006/relationships/hyperlink" Target="https://github.com/mavlink/mavros/blob/ros2/mavros/README.md" TargetMode="External"/><Relationship Id="rId68" Type="http://schemas.openxmlformats.org/officeDocument/2006/relationships/hyperlink" Target="https://docs.ros.org/en/iron/p/mavros/standard_docs/README.html" TargetMode="External"/><Relationship Id="rId69" Type="http://schemas.openxmlformats.org/officeDocument/2006/relationships/hyperlink" Target="https://github.com/afrl-rq/OpenAMASE/tree/master/OpenAMASE/docs/lmcp" TargetMode="External"/><Relationship Id="rId70" Type="http://schemas.openxmlformats.org/officeDocument/2006/relationships/hyperlink" Target="https://docs.kernel.org/networking/batman-adv.html" TargetMode="External"/><Relationship Id="rId71" Type="http://schemas.openxmlformats.org/officeDocument/2006/relationships/hyperlink" Target="https://www.open-mesh.org/projects/batman-adv/wiki" TargetMode="External"/><Relationship Id="rId72" Type="http://schemas.openxmlformats.org/officeDocument/2006/relationships/hyperlink" Target="https://www.rfc-editor.org/rfc/rfc3626" TargetMode="External"/><Relationship Id="rId73" Type="http://schemas.openxmlformats.org/officeDocument/2006/relationships/hyperlink" Target="https://www.rfc-editor.org/rfc/rfc7181" TargetMode="External"/><Relationship Id="rId74" Type="http://schemas.openxmlformats.org/officeDocument/2006/relationships/hyperlink" Target="https://meshtastic.org/docs/" TargetMode="External"/><Relationship Id="rId75" Type="http://schemas.openxmlformats.org/officeDocument/2006/relationships/hyperlink" Target="https://github.com/meshtastic/firmware" TargetMode="External"/><Relationship Id="rId76" Type="http://schemas.openxmlformats.org/officeDocument/2006/relationships/hyperlink" Target="https://zguide.zeromq.org/" TargetMode="External"/><Relationship Id="rId77" Type="http://schemas.openxmlformats.org/officeDocument/2006/relationships/hyperlink" Target="https://grpc.io/docs/" TargetMode="External"/><Relationship Id="rId78" Type="http://schemas.openxmlformats.org/officeDocument/2006/relationships/hyperlink" Target="https://protobuf.dev/" TargetMode="External"/><Relationship Id="rId79" Type="http://schemas.openxmlformats.org/officeDocument/2006/relationships/hyperlink" Target="https://flatbuffers.dev/" TargetMode="External"/><Relationship Id="rId80" Type="http://schemas.openxmlformats.org/officeDocument/2006/relationships/hyperlink" Target="https://1.ieee802.org/tsn/" TargetMode="External"/><Relationship Id="rId81" Type="http://schemas.openxmlformats.org/officeDocument/2006/relationships/hyperlink" Target="https://arxiv.org/abs/2303.18237" TargetMode="External"/><Relationship Id="rId82" Type="http://schemas.openxmlformats.org/officeDocument/2006/relationships/hyperlink" Target="https://aerostack2.github.io/" TargetMode="External"/><Relationship Id="rId83" Type="http://schemas.openxmlformats.org/officeDocument/2006/relationships/hyperlink" Target="https://github.com/aerostack2/aerostack2" TargetMode="External"/><Relationship Id="rId84" Type="http://schemas.openxmlformats.org/officeDocument/2006/relationships/hyperlink" Target="https://github.com/aerostack2/aerostack2.github.io" TargetMode="External"/><Relationship Id="rId85" Type="http://schemas.openxmlformats.org/officeDocument/2006/relationships/hyperlink" Target="https://github.com/aerostack2/aerostack2.github.io/blob/main/docs/_01_aerostack2_concepts/behaviors/index.rst" TargetMode="External"/><Relationship Id="rId86" Type="http://schemas.openxmlformats.org/officeDocument/2006/relationships/hyperlink" Target="https://docs.ros.org/en/humble/p/aerostack2/generated/index.html" TargetMode="External"/><Relationship Id="rId87" Type="http://schemas.openxmlformats.org/officeDocument/2006/relationships/hyperlink" Target="https://github.com/aerostack2" TargetMode="External"/><Relationship Id="rId88" Type="http://schemas.openxmlformats.org/officeDocument/2006/relationships/hyperlink" Target="https://arxiv.org/abs/2206.08185" TargetMode="External"/><Relationship Id="rId89" Type="http://schemas.openxmlformats.org/officeDocument/2006/relationships/hyperlink" Target="https://github.com/IMRCLab/crazyswarm2/blob/main/README.md" TargetMode="External"/><Relationship Id="rId90" Type="http://schemas.openxmlformats.org/officeDocument/2006/relationships/hyperlink" Target="https://imrclab.github.io/crazyswarm2/" TargetMode="External"/><Relationship Id="rId91" Type="http://schemas.openxmlformats.org/officeDocument/2006/relationships/hyperlink" Target="https://imrclab.github.io/crazyswarm2/overview.html" TargetMode="External"/><Relationship Id="rId92" Type="http://schemas.openxmlformats.org/officeDocument/2006/relationships/hyperlink" Target="https://github.com/OPT4SMART/crazychoir" TargetMode="External"/><Relationship Id="rId93" Type="http://schemas.openxmlformats.org/officeDocument/2006/relationships/hyperlink" Target="https://arxiv.org/abs/2302.00716" TargetMode="External"/><Relationship Id="rId94" Type="http://schemas.openxmlformats.org/officeDocument/2006/relationships/hyperlink" Target="https://arxiv.org/abs/2010.13431" TargetMode="External"/><Relationship Id="rId95" Type="http://schemas.openxmlformats.org/officeDocument/2006/relationships/hyperlink" Target="https://github.com/OPT4SMART/ChoiRbot" TargetMode="External"/><Relationship Id="rId96" Type="http://schemas.openxmlformats.org/officeDocument/2006/relationships/hyperlink" Target="https://opt4smart.github.io/ChoiRbot/" TargetMode="External"/><Relationship Id="rId97" Type="http://schemas.openxmlformats.org/officeDocument/2006/relationships/hyperlink" Target="https://arxiv.org/abs/2309.04257" TargetMode="External"/><Relationship Id="rId98" Type="http://schemas.openxmlformats.org/officeDocument/2006/relationships/hyperlink" Target="https://github.com/ROS2swarm/ROS2swarm" TargetMode="External"/><Relationship Id="rId99" Type="http://schemas.openxmlformats.org/officeDocument/2006/relationships/hyperlink" Target="https://arxiv.org/abs/2405.02438" TargetMode="External"/><Relationship Id="rId100" Type="http://schemas.openxmlformats.org/officeDocument/2006/relationships/hyperlink" Target="https://github.com/ROS2swarm" TargetMode="External"/><Relationship Id="rId101" Type="http://schemas.openxmlformats.org/officeDocument/2006/relationships/hyperlink" Target="https://github.com/MISTLab/Buzz" TargetMode="External"/><Relationship Id="rId102" Type="http://schemas.openxmlformats.org/officeDocument/2006/relationships/hyperlink" Target="https://arxiv.org/abs/1507.05946" TargetMode="External"/><Relationship Id="rId103" Type="http://schemas.openxmlformats.org/officeDocument/2006/relationships/hyperlink" Target="https://github.com/MISTLab/ROSBuzz" TargetMode="External"/><Relationship Id="rId104" Type="http://schemas.openxmlformats.org/officeDocument/2006/relationships/hyperlink" Target="https://mistlab.ca/buzztutorial/" TargetMode="External"/><Relationship Id="rId105" Type="http://schemas.openxmlformats.org/officeDocument/2006/relationships/hyperlink" Target="https://seulbae-security.github.io/pubs/swarmbox-fse26.pdf" TargetMode="External"/><Relationship Id="rId106" Type="http://schemas.openxmlformats.org/officeDocument/2006/relationships/hyperlink" Target="https://compsec.postech.ac.kr/swarmbox/" TargetMode="External"/><Relationship Id="rId107" Type="http://schemas.openxmlformats.org/officeDocument/2006/relationships/hyperlink" Target="https://github.com/postech-compsec/swarmbox" TargetMode="External"/><Relationship Id="rId108" Type="http://schemas.openxmlformats.org/officeDocument/2006/relationships/hyperlink" Target="https://dl.acm.org/doi/10.1145/3808100" TargetMode="External"/><Relationship Id="rId109" Type="http://schemas.openxmlformats.org/officeDocument/2006/relationships/hyperlink" Target="https://zenodo.org/records/19344308" TargetMode="External"/><Relationship Id="rId110" Type="http://schemas.openxmlformats.org/officeDocument/2006/relationships/hyperlink" Target="https://osrf.github.io/ros2multirobotbook/" TargetMode="External"/><Relationship Id="rId111" Type="http://schemas.openxmlformats.org/officeDocument/2006/relationships/hyperlink" Target="https://github.com/open-rmf/rmf" TargetMode="External"/><Relationship Id="rId112" Type="http://schemas.openxmlformats.org/officeDocument/2006/relationships/hyperlink" Target="https://github.com/open-rmf/rmf_demos" TargetMode="External"/><Relationship Id="rId113" Type="http://schemas.openxmlformats.org/officeDocument/2006/relationships/hyperlink" Target="https://github.com/open-rmf/rmf_ros2" TargetMode="External"/><Relationship Id="rId114" Type="http://schemas.openxmlformats.org/officeDocument/2006/relationships/hyperlink" Target="https://github.com/afrl-rq/OpenUxAS" TargetMode="External"/><Relationship Id="rId115" Type="http://schemas.openxmlformats.org/officeDocument/2006/relationships/hyperlink" Target="https://github.com/afrl-rq/OpenUxAS-SoI" TargetMode="External"/><Relationship Id="rId116" Type="http://schemas.openxmlformats.org/officeDocument/2006/relationships/hyperlink" Target="https://github.com/afrl-rq" TargetMode="External"/><Relationship Id="rId117" Type="http://schemas.openxmlformats.org/officeDocument/2006/relationships/hyperlink" Target="https://github.com/skybrush-io/skybrush-server" TargetMode="External"/><Relationship Id="rId118" Type="http://schemas.openxmlformats.org/officeDocument/2006/relationships/hyperlink" Target="https://github.com/skybrush-io/skybrush-server/blob/main/CHANGELOG.md" TargetMode="External"/><Relationship Id="rId119" Type="http://schemas.openxmlformats.org/officeDocument/2006/relationships/hyperlink" Target="https://github.com/skybrush-io/ap-swarm-launcher" TargetMode="External"/><Relationship Id="rId120" Type="http://schemas.openxmlformats.org/officeDocument/2006/relationships/hyperlink" Target="https://github.com/orgs/skybrush-io/repositories" TargetMode="External"/><Relationship Id="rId121" Type="http://schemas.openxmlformats.org/officeDocument/2006/relationships/hyperlink" Target="https://docs.qgroundcontrol.com/" TargetMode="External"/><Relationship Id="rId122" Type="http://schemas.openxmlformats.org/officeDocument/2006/relationships/hyperlink" Target="https://github.com/mavlink/qgroundcontrol" TargetMode="External"/><Relationship Id="rId123" Type="http://schemas.openxmlformats.org/officeDocument/2006/relationships/hyperlink" Target="https://ardupilot.org/planner/" TargetMode="External"/><Relationship Id="rId124" Type="http://schemas.openxmlformats.org/officeDocument/2006/relationships/hyperlink" Target="https://github.com/ArduPilot/MissionPlanner" TargetMode="External"/><Relationship Id="rId125" Type="http://schemas.openxmlformats.org/officeDocument/2006/relationships/hyperlink" Target="https://github.com/afrl-rq/OpenAMASE" TargetMode="External"/><Relationship Id="rId126" Type="http://schemas.openxmlformats.org/officeDocument/2006/relationships/hyperlink" Target="https://github.com/afrl-rq/OpenAMASE/tree/master/OpenAMASE" TargetMode="External"/><Relationship Id="rId127" Type="http://schemas.openxmlformats.org/officeDocument/2006/relationships/hyperlink" Target="https://github.com/skybrush-io/skybrush-studio-blender" TargetMode="External"/><Relationship Id="rId128" Type="http://schemas.openxmlformats.org/officeDocument/2006/relationships/hyperlink" Target="https://docs.blender.org/manual/en/latest/" TargetMode="External"/><Relationship Id="rId129" Type="http://schemas.openxmlformats.org/officeDocument/2006/relationships/hyperlink" Target="https://github.com/gazebosim/docs" TargetMode="External"/><Relationship Id="rId130" Type="http://schemas.openxmlformats.org/officeDocument/2006/relationships/hyperlink" Target="https://github.com/gazebosim/docs/blob/master/harmonic/comparison.md" TargetMode="External"/><Relationship Id="rId131" Type="http://schemas.openxmlformats.org/officeDocument/2006/relationships/hyperlink" Target="https://github.com/gazebosim/gz-harmonic" TargetMode="External"/><Relationship Id="rId132" Type="http://schemas.openxmlformats.org/officeDocument/2006/relationships/hyperlink" Target="https://gazebosim.org/docs/" TargetMode="External"/><Relationship Id="rId133" Type="http://schemas.openxmlformats.org/officeDocument/2006/relationships/hyperlink" Target="https://github.com/ilpincy/argos3" TargetMode="External"/><Relationship Id="rId134" Type="http://schemas.openxmlformats.org/officeDocument/2006/relationships/hyperlink" Target="https://link.springer.com/article/10.1007/s11721-012-0072-5" TargetMode="External"/><Relationship Id="rId135" Type="http://schemas.openxmlformats.org/officeDocument/2006/relationships/hyperlink" Target="https://www.argos-sim.info/" TargetMode="External"/><Relationship Id="rId136" Type="http://schemas.openxmlformats.org/officeDocument/2006/relationships/hyperlink" Target="https://docs.isaacsim.omniverse.nvidia.com/latest/" TargetMode="External"/><Relationship Id="rId137" Type="http://schemas.openxmlformats.org/officeDocument/2006/relationships/hyperlink" Target="https://github.com/isaac-sim/IsaacSim" TargetMode="External"/><Relationship Id="rId138" Type="http://schemas.openxmlformats.org/officeDocument/2006/relationships/hyperlink" Target="https://developer.nvidia.com/blog/announcing-general-availability-for-nvidia-isaac-sim-5-0-and-nvidia-isaac-lab-2-2" TargetMode="External"/><Relationship Id="rId139" Type="http://schemas.openxmlformats.org/officeDocument/2006/relationships/hyperlink" Target="https://docs.isaacsim.omniverse.nvidia.com/6.0.1/overview/release_notes.html" TargetMode="External"/><Relationship Id="rId140" Type="http://schemas.openxmlformats.org/officeDocument/2006/relationships/hyperlink" Target="https://developer.nvidia.com/blog/developers-build-fast-and-reliable-robot-simulations-with-nvidia-omniverse-libraries/" TargetMode="External"/><Relationship Id="rId141" Type="http://schemas.openxmlformats.org/officeDocument/2006/relationships/hyperlink" Target="https://github.com/isaac-sim/IsaacSim/releases" TargetMode="External"/><Relationship Id="rId142" Type="http://schemas.openxmlformats.org/officeDocument/2006/relationships/hyperlink" Target="https://github.com/PegasusSimulator/PegasusSimulator" TargetMode="External"/><Relationship Id="rId143" Type="http://schemas.openxmlformats.org/officeDocument/2006/relationships/hyperlink" Target="https://pegasussimulator.github.io/PegasusSimulator/" TargetMode="External"/><Relationship Id="rId144" Type="http://schemas.openxmlformats.org/officeDocument/2006/relationships/hyperlink" Target="https://arxiv.org/abs/2307.05263" TargetMode="External"/><Relationship Id="rId145" Type="http://schemas.openxmlformats.org/officeDocument/2006/relationships/hyperlink" Target="https://github.com/aerostack2/project_pegasus_isaac_sim" TargetMode="External"/><Relationship Id="rId146" Type="http://schemas.openxmlformats.org/officeDocument/2006/relationships/hyperlink" Target="https://developer.nvidia.com/blog/announcing-general-availability-for-nvidia-isaac-sim-5-0-and-nvidia-isaac-lab-2-2" TargetMode="External"/><Relationship Id="rId147" Type="http://schemas.openxmlformats.org/officeDocument/2006/relationships/hyperlink" Target="https://docs.isaacsim.omniverse.nvidia.com/6.0.1/overview/release_notes.html" TargetMode="External"/><Relationship Id="rId148" Type="http://schemas.openxmlformats.org/officeDocument/2006/relationships/hyperlink" Target="https://github.com/newton-physics/newton" TargetMode="External"/><Relationship Id="rId149" Type="http://schemas.openxmlformats.org/officeDocument/2006/relationships/hyperlink" Target="https://newton-physics.github.io/newton/stable/guide/overview.html" TargetMode="External"/><Relationship Id="rId150" Type="http://schemas.openxmlformats.org/officeDocument/2006/relationships/hyperlink" Target="https://developer.nvidia.com/newton-physics" TargetMode="External"/><Relationship Id="rId151" Type="http://schemas.openxmlformats.org/officeDocument/2006/relationships/hyperlink" Target="https://github.com/NVIDIA/warp" TargetMode="External"/><Relationship Id="rId152" Type="http://schemas.openxmlformats.org/officeDocument/2006/relationships/hyperlink" Target="https://nvidia.github.io/warp/" TargetMode="External"/><Relationship Id="rId153" Type="http://schemas.openxmlformats.org/officeDocument/2006/relationships/hyperlink" Target="https://github.com/google-deepmind/mujoco" TargetMode="External"/><Relationship Id="rId154" Type="http://schemas.openxmlformats.org/officeDocument/2006/relationships/hyperlink" Target="https://mujoco.readthedocs.io/" TargetMode="External"/><Relationship Id="rId155" Type="http://schemas.openxmlformats.org/officeDocument/2006/relationships/hyperlink" Target="https://openusd.org/" TargetMode="External"/><Relationship Id="rId156" Type="http://schemas.openxmlformats.org/officeDocument/2006/relationships/hyperlink" Target="https://github.com/PixarAnimationStudios/OpenUSD" TargetMode="External"/><Relationship Id="rId157" Type="http://schemas.openxmlformats.org/officeDocument/2006/relationships/hyperlink" Target="https://o3de.org/docs/" TargetMode="External"/><Relationship Id="rId158" Type="http://schemas.openxmlformats.org/officeDocument/2006/relationships/hyperlink" Target="https://github.com/ros-simulation/simulation_interfaces" TargetMode="External"/><Relationship Id="rId159" Type="http://schemas.openxmlformats.org/officeDocument/2006/relationships/hyperlink" Target="https://github.com/microsoft/AirSim" TargetMode="External"/><Relationship Id="rId160" Type="http://schemas.openxmlformats.org/officeDocument/2006/relationships/hyperlink" Target="https://arxiv.org/abs/1705.05065" TargetMode="External"/><Relationship Id="rId161" Type="http://schemas.openxmlformats.org/officeDocument/2006/relationships/hyperlink" Target="https://microsoft.github.io/AirSim/" TargetMode="External"/><Relationship Id="rId162" Type="http://schemas.openxmlformats.org/officeDocument/2006/relationships/hyperlink" Target="https://github.com/iamaisim/ProjectAirSim" TargetMode="External"/><Relationship Id="rId163" Type="http://schemas.openxmlformats.org/officeDocument/2006/relationships/hyperlink" Target="https://github.com/iamaisim/ProjectAirSim/releases" TargetMode="External"/><Relationship Id="rId164" Type="http://schemas.openxmlformats.org/officeDocument/2006/relationships/hyperlink" Target="https://github.com/microsoft/AirSim/issues/5025" TargetMode="External"/><Relationship Id="rId165" Type="http://schemas.openxmlformats.org/officeDocument/2006/relationships/hyperlink" Target="https://github.com/Cosys-Lab/Cosys-AirSim/blob/main/README.md" TargetMode="External"/><Relationship Id="rId166" Type="http://schemas.openxmlformats.org/officeDocument/2006/relationships/hyperlink" Target="https://cosys-lab.github.io/Cosys-AirSim/" TargetMode="External"/><Relationship Id="rId167" Type="http://schemas.openxmlformats.org/officeDocument/2006/relationships/hyperlink" Target="https://github.com/Cosys-Lab/Cosys-AirSim/blob/main/CHANGELOG.md" TargetMode="External"/><Relationship Id="rId168" Type="http://schemas.openxmlformats.org/officeDocument/2006/relationships/hyperlink" Target="https://github.com/CodexLabsLLC/Colosseum/blob/main/README.md" TargetMode="External"/><Relationship Id="rId169" Type="http://schemas.openxmlformats.org/officeDocument/2006/relationships/hyperlink" Target="https://github.com/CodexLabsLLC/Colosseum/releases" TargetMode="External"/><Relationship Id="rId170" Type="http://schemas.openxmlformats.org/officeDocument/2006/relationships/hyperlink" Target="https://swarmsim.io/" TargetMode="External"/><Relationship Id="rId171" Type="http://schemas.openxmlformats.org/officeDocument/2006/relationships/hyperlink" Target="https://engineering.purdue.edu/OPP/ICON/Research/Demos/swarm-simulation-platforms" TargetMode="External"/><Relationship Id="rId172" Type="http://schemas.openxmlformats.org/officeDocument/2006/relationships/hyperlink" Target="https://dev.epicgames.com/documentation/en-us/unreal-engine" TargetMode="External"/><Relationship Id="rId173" Type="http://schemas.openxmlformats.org/officeDocument/2006/relationships/hyperlink" Target="https://github.com/cyberbotics/webots/blob/master/README.md" TargetMode="External"/><Relationship Id="rId174" Type="http://schemas.openxmlformats.org/officeDocument/2006/relationships/hyperlink" Target="https://github.com/cyberbotics/webots/tree/master/docs" TargetMode="External"/><Relationship Id="rId175" Type="http://schemas.openxmlformats.org/officeDocument/2006/relationships/hyperlink" Target="https://cyberbotics.com/doc/guide/tutorials" TargetMode="External"/><Relationship Id="rId176" Type="http://schemas.openxmlformats.org/officeDocument/2006/relationships/hyperlink" Target="https://manual.coppeliarobotics.com/" TargetMode="External"/><Relationship Id="rId177" Type="http://schemas.openxmlformats.org/officeDocument/2006/relationships/hyperlink" Target="https://github.com/osrf/vrx" TargetMode="External"/><Relationship Id="rId178" Type="http://schemas.openxmlformats.org/officeDocument/2006/relationships/hyperlink" Target="https://github.com/osrf/vrx/wiki" TargetMode="External"/><Relationship Id="rId179" Type="http://schemas.openxmlformats.org/officeDocument/2006/relationships/hyperlink" Target="https://github.com/osrf/vrx/files/4731857/PID6131719.pdf" TargetMode="External"/><Relationship Id="rId180" Type="http://schemas.openxmlformats.org/officeDocument/2006/relationships/hyperlink" Target="https://github.com/patrykcieslak/stonefish" TargetMode="External"/><Relationship Id="rId181" Type="http://schemas.openxmlformats.org/officeDocument/2006/relationships/hyperlink" Target="https://stonefish.readthedocs.io/" TargetMode="External"/><Relationship Id="rId182" Type="http://schemas.openxmlformats.org/officeDocument/2006/relationships/hyperlink" Target="https://arxiv.org/abs/2502.11887" TargetMode="External"/><Relationship Id="rId183" Type="http://schemas.openxmlformats.org/officeDocument/2006/relationships/hyperlink" Target="https://byu-holoocean.github.io/holoocean-docs/v2.0.0/index.html" TargetMode="External"/><Relationship Id="rId184" Type="http://schemas.openxmlformats.org/officeDocument/2006/relationships/hyperlink" Target="https://github.com/ctu-mrs/mrs_multirotor_simulator" TargetMode="External"/><Relationship Id="rId185" Type="http://schemas.openxmlformats.org/officeDocument/2006/relationships/hyperlink" Target="https://github.com/lis-epfl/swarmlab" TargetMode="External"/><Relationship Id="rId186" Type="http://schemas.openxmlformats.org/officeDocument/2006/relationships/hyperlink" Target="https://www.robotarium.gatech.edu/" TargetMode="External"/><Relationship Id="rId187" Type="http://schemas.openxmlformats.org/officeDocument/2006/relationships/hyperlink" Target="https://arxiv.org/abs/2505.06771" TargetMode="External"/><Relationship Id="rId188" Type="http://schemas.openxmlformats.org/officeDocument/2006/relationships/hyperlink" Target="https://www.nsnam.org/docs/models/singlehtml/" TargetMode="External"/><Relationship Id="rId189" Type="http://schemas.openxmlformats.org/officeDocument/2006/relationships/hyperlink" Target="https://www.nsnam.org/docs/manual/html/index.html" TargetMode="External"/><Relationship Id="rId190" Type="http://schemas.openxmlformats.org/officeDocument/2006/relationships/hyperlink" Target="https://www.nsnam.org/documentation/" TargetMode="External"/><Relationship Id="rId191" Type="http://schemas.openxmlformats.org/officeDocument/2006/relationships/hyperlink" Target="https://www.nsnam.org/docs/models/html/" TargetMode="External"/><Relationship Id="rId192" Type="http://schemas.openxmlformats.org/officeDocument/2006/relationships/hyperlink" Target="https://www.peratonlabs.com/uploads/1/3/4/9/134979869/cybervan_cyber_range_ov.pdf" TargetMode="External"/><Relationship Id="rId193" Type="http://schemas.openxmlformats.org/officeDocument/2006/relationships/hyperlink" Target="https://ieeexplore.ieee.org/iel7/7784513/7795145/07795481.pdf" TargetMode="External"/><Relationship Id="rId194" Type="http://schemas.openxmlformats.org/officeDocument/2006/relationships/hyperlink" Target="https://www.peratonlabs.com/cybervan-high-fidelity-cyber-range.html" TargetMode="External"/><Relationship Id="rId195" Type="http://schemas.openxmlformats.org/officeDocument/2006/relationships/hyperlink" Target="https://www.peraton.com/capabilities/engineering/cybervan" TargetMode="External"/><Relationship Id="rId196" Type="http://schemas.openxmlformats.org/officeDocument/2006/relationships/hyperlink" Target="https://www.peratonlabs.com/cybervan.html" TargetMode="External"/><Relationship Id="rId197" Type="http://schemas.openxmlformats.org/officeDocument/2006/relationships/hyperlink" Target="https://www.peraton.com/news/cybervan-a-digital-twin-for-enhanced-cyber-readiness" TargetMode="External"/><Relationship Id="rId198" Type="http://schemas.openxmlformats.org/officeDocument/2006/relationships/hyperlink" Target="https://www.peraton.com/wp-content/uploads/CyberVanForSpace_WP_digital.pdf" TargetMode="External"/><Relationship Id="rId199" Type="http://schemas.openxmlformats.org/officeDocument/2006/relationships/hyperlink" Target="https://cybervan.peratonlabs.com:9000/welcome" TargetMode="External"/><Relationship Id="rId200" Type="http://schemas.openxmlformats.org/officeDocument/2006/relationships/hyperlink" Target="https://cybervan.peratonlabs.com:9000/publications" TargetMode="External"/><Relationship Id="rId201" Type="http://schemas.openxmlformats.org/officeDocument/2006/relationships/hyperlink" Target="https://www.iarpa.gov/images/PropsersDayPDFs/ReSCIND/L06_-_Lightening_Talk_-_Peraton_Labs_-_RC.pdf" TargetMode="External"/><Relationship Id="rId202" Type="http://schemas.openxmlformats.org/officeDocument/2006/relationships/hyperlink" Target="https://github.com/adjacentlink/emane-guide" TargetMode="External"/><Relationship Id="rId203" Type="http://schemas.openxmlformats.org/officeDocument/2006/relationships/hyperlink" Target="https://github.com/adjacentlink/emane/wiki" TargetMode="External"/><Relationship Id="rId204" Type="http://schemas.openxmlformats.org/officeDocument/2006/relationships/hyperlink" Target="https://github.com/adjacentlink/emane/wiki/Introduction" TargetMode="External"/><Relationship Id="rId205" Type="http://schemas.openxmlformats.org/officeDocument/2006/relationships/hyperlink" Target="https://coreemu.github.io/core/emane.html" TargetMode="External"/><Relationship Id="rId206" Type="http://schemas.openxmlformats.org/officeDocument/2006/relationships/hyperlink" Target="https://github.com/coreemu/core/blob/master/docs/emane.md" TargetMode="External"/><Relationship Id="rId207" Type="http://schemas.openxmlformats.org/officeDocument/2006/relationships/hyperlink" Target="https://github.com/NVlabs/sionna" TargetMode="External"/><Relationship Id="rId208" Type="http://schemas.openxmlformats.org/officeDocument/2006/relationships/hyperlink" Target="https://nvlabs.github.io/sionna/" TargetMode="External"/><Relationship Id="rId209" Type="http://schemas.openxmlformats.org/officeDocument/2006/relationships/hyperlink" Target="https://nvlabs.github.io/sionna/rt" TargetMode="External"/><Relationship Id="rId210" Type="http://schemas.openxmlformats.org/officeDocument/2006/relationships/hyperlink" Target="https://arxiv.org/abs/2501.00372" TargetMode="External"/><Relationship Id="rId211" Type="http://schemas.openxmlformats.org/officeDocument/2006/relationships/hyperlink" Target="https://github.com/NVlabs/sionna-rt" TargetMode="External"/><Relationship Id="rId212" Type="http://schemas.openxmlformats.org/officeDocument/2006/relationships/hyperlink" Target="https://arxiv.org/abs/2412.20524" TargetMode="External"/><Relationship Id="rId213" Type="http://schemas.openxmlformats.org/officeDocument/2006/relationships/hyperlink" Target="https://github.com/NVlabs/sionna-rt/releases" TargetMode="External"/><Relationship Id="rId214" Type="http://schemas.openxmlformats.org/officeDocument/2006/relationships/hyperlink" Target="https://github.com/MinaYonan123/ns3-rt-ric-taap" TargetMode="External"/><Relationship Id="rId215" Type="http://schemas.openxmlformats.org/officeDocument/2006/relationships/hyperlink" Target="https://github.com/NVlabs/diff-rt" TargetMode="External"/><Relationship Id="rId216" Type="http://schemas.openxmlformats.org/officeDocument/2006/relationships/hyperlink" Target="https://arxiv.org/abs/2508.15816" TargetMode="External"/><Relationship Id="rId217" Type="http://schemas.openxmlformats.org/officeDocument/2006/relationships/hyperlink" Target="https://ece.iisc.ac.in/~parimal/papers/2020/comsnets.pdf" TargetMode="External"/><Relationship Id="rId218" Type="http://schemas.openxmlformats.org/officeDocument/2006/relationships/hyperlink" Target="https://arxiv.org/abs/2109.06979" TargetMode="External"/><Relationship Id="rId219" Type="http://schemas.openxmlformats.org/officeDocument/2006/relationships/hyperlink" Target="https://par.nsf.gov/servlets/purl/10297241" TargetMode="External"/><Relationship Id="rId220" Type="http://schemas.openxmlformats.org/officeDocument/2006/relationships/hyperlink" Target="https://www.researchgate.net/publication/257343897_RoboNetSim_An_integrated_framework_for_multi-robot_and_network_simulation" TargetMode="External"/><Relationship Id="rId221" Type="http://schemas.openxmlformats.org/officeDocument/2006/relationships/hyperlink" Target="https://arxiv.org/abs/2208.06569" TargetMode="External"/><Relationship Id="rId222" Type="http://schemas.openxmlformats.org/officeDocument/2006/relationships/hyperlink" Target="https://github.com/isaac-sim/IsaacLab" TargetMode="External"/><Relationship Id="rId223" Type="http://schemas.openxmlformats.org/officeDocument/2006/relationships/hyperlink" Target="https://github.com/isaac-sim/IsaacLab/releases" TargetMode="External"/><Relationship Id="rId224" Type="http://schemas.openxmlformats.org/officeDocument/2006/relationships/hyperlink" Target="https://github.com/NVIDIA/Cosmos" TargetMode="External"/><Relationship Id="rId225" Type="http://schemas.openxmlformats.org/officeDocument/2006/relationships/hyperlink" Target="https://github.com/nvidia-cosmos/cosmos-transfer2.5" TargetMode="External"/><Relationship Id="rId226" Type="http://schemas.openxmlformats.org/officeDocument/2006/relationships/hyperlink" Target="https://github.com/nvidia-cosmos/cosmos-cookbook" TargetMode="External"/><Relationship Id="rId227" Type="http://schemas.openxmlformats.org/officeDocument/2006/relationships/hyperlink" Target="https://github.com/nvidia-cosmos/cosmos-transfer1" TargetMode="External"/><Relationship Id="rId228" Type="http://schemas.openxmlformats.org/officeDocument/2006/relationships/hyperlink" Target="https://arxiv.org/abs/2502.16372" TargetMode="External"/><Relationship Id="rId229" Type="http://schemas.openxmlformats.org/officeDocument/2006/relationships/hyperlink" Target="https://github.com/NVlabs/COMPASS" TargetMode="External"/><Relationship Id="rId230" Type="http://schemas.openxmlformats.org/officeDocument/2006/relationships/hyperlink" Target="https://nvlabs.github.io/COMPASS/" TargetMode="External"/><Relationship Id="rId231" Type="http://schemas.openxmlformats.org/officeDocument/2006/relationships/hyperlink" Target="https://arxiv.org/abs/2309.12825" TargetMode="External"/><Relationship Id="rId232" Type="http://schemas.openxmlformats.org/officeDocument/2006/relationships/hyperlink" Target="https://github.com/btx0424/OmniDrones/blob/main/README.md" TargetMode="External"/><Relationship Id="rId233" Type="http://schemas.openxmlformats.org/officeDocument/2006/relationships/hyperlink" Target="https://omnidrones.readthedocs.io/" TargetMode="External"/><Relationship Id="rId234" Type="http://schemas.openxmlformats.org/officeDocument/2006/relationships/hyperlink" Target="https://github.com/utiasDSL/gym-pybullet-drones" TargetMode="External"/><Relationship Id="rId235" Type="http://schemas.openxmlformats.org/officeDocument/2006/relationships/hyperlink" Target="https://arxiv.org/abs/2103.02142" TargetMode="External"/><Relationship Id="rId236" Type="http://schemas.openxmlformats.org/officeDocument/2006/relationships/hyperlink" Target="https://github.com/proroklab/VectorizedMultiAgentSimulator" TargetMode="External"/><Relationship Id="rId237" Type="http://schemas.openxmlformats.org/officeDocument/2006/relationships/hyperlink" Target="https://link.springer.com/chapter/10.1007/978-3-031-51497-5_4" TargetMode="External"/><Relationship Id="rId238" Type="http://schemas.openxmlformats.org/officeDocument/2006/relationships/hyperlink" Target="https://github.com/facebookresearch/BenchMARL" TargetMode="External"/><Relationship Id="rId239" Type="http://schemas.openxmlformats.org/officeDocument/2006/relationships/hyperlink" Target="https://benchmarl.readthedocs.io/en/latest/" TargetMode="External"/><Relationship Id="rId240" Type="http://schemas.openxmlformats.org/officeDocument/2006/relationships/hyperlink" Target="https://github.com/FLAIROx/JaxMARL" TargetMode="External"/><Relationship Id="rId241" Type="http://schemas.openxmlformats.org/officeDocument/2006/relationships/hyperlink" Target="https://arxiv.org/abs/2311.10090" TargetMode="External"/><Relationship Id="rId242" Type="http://schemas.openxmlformats.org/officeDocument/2006/relationships/hyperlink" Target="https://github.com/Zhehui-Huang/quad-swarm-rl" TargetMode="External"/><Relationship Id="rId243" Type="http://schemas.openxmlformats.org/officeDocument/2006/relationships/hyperlink" Target="https://arxiv.org/abs/2309.13285" TargetMode="External"/><Relationship Id="rId244" Type="http://schemas.openxmlformats.org/officeDocument/2006/relationships/hyperlink" Target="https://arxiv.org/abs/2109.07735" TargetMode="External"/><Relationship Id="rId245" Type="http://schemas.openxmlformats.org/officeDocument/2006/relationships/hyperlink" Target="https://arxiv.org/abs/2307.03891" TargetMode="External"/><Relationship Id="rId246" Type="http://schemas.openxmlformats.org/officeDocument/2006/relationships/hyperlink" Target="https://github.com/GT-STAR-Lab/MARBLER" TargetMode="External"/><Relationship Id="rId247" Type="http://schemas.openxmlformats.org/officeDocument/2006/relationships/hyperlink" Target="https://shubhlohiya.github.io/MARBLER/" TargetMode="External"/><Relationship Id="rId248" Type="http://schemas.openxmlformats.org/officeDocument/2006/relationships/hyperlink" Target="https://github.com/huggingface/lerobot" TargetMode="External"/><Relationship Id="rId249" Type="http://schemas.openxmlformats.org/officeDocument/2006/relationships/hyperlink" Target="https://github.com/nsidn98/InforMARL" TargetMode="External"/><Relationship Id="rId250" Type="http://schemas.openxmlformats.org/officeDocument/2006/relationships/hyperlink" Target="https://dl.acm.org/doi/10.1145/3580305.3599359" TargetMode="External"/><Relationship Id="rId251" Type="http://schemas.openxmlformats.org/officeDocument/2006/relationships/hyperlink" Target="https://arxiv.org/abs/2603.04833" TargetMode="External"/><Relationship Id="rId252" Type="http://schemas.openxmlformats.org/officeDocument/2006/relationships/hyperlink" Target="https://doi.org/10.3389/frobt.2026.1843313" TargetMode="External"/><Relationship Id="rId253" Type="http://schemas.openxmlformats.org/officeDocument/2006/relationships/hyperlink" Target="https://www.sciencedirect.com/science/article/pii/S2667379726000021" TargetMode="External"/><Relationship Id="rId254" Type="http://schemas.openxmlformats.org/officeDocument/2006/relationships/hyperlink" Target="https://arxiv.org/abs/2309.10062" TargetMode="External"/><Relationship Id="rId255" Type="http://schemas.openxmlformats.org/officeDocument/2006/relationships/hyperlink" Target="https://arxiv.org/abs/2307.01928" TargetMode="External"/><Relationship Id="rId256" Type="http://schemas.openxmlformats.org/officeDocument/2006/relationships/hyperlink" Target="https://arxiv.org/abs/2605.31066" TargetMode="External"/><Relationship Id="rId257" Type="http://schemas.openxmlformats.org/officeDocument/2006/relationships/hyperlink" Target="https://arxiv.org/abs/2603.28032" TargetMode="External"/><Relationship Id="rId258" Type="http://schemas.openxmlformats.org/officeDocument/2006/relationships/hyperlink" Target="https://arxiv.org/abs/2503.13784" TargetMode="External"/><Relationship Id="rId259" Type="http://schemas.openxmlformats.org/officeDocument/2006/relationships/hyperlink" Target="https://arxiv.org/abs/2402.07573" TargetMode="External"/><Relationship Id="rId260" Type="http://schemas.openxmlformats.org/officeDocument/2006/relationships/hyperlink" Target="https://arxiv.org/abs/2512.01035" TargetMode="External"/><Relationship Id="rId261" Type="http://schemas.openxmlformats.org/officeDocument/2006/relationships/hyperlink" Target="https://docs.foxglove.dev/docs/fleet" TargetMode="External"/><Relationship Id="rId262" Type="http://schemas.openxmlformats.org/officeDocument/2006/relationships/hyperlink" Target="https://docs.foxglove.dev/docs/fleet/bridge" TargetMode="External"/><Relationship Id="rId263" Type="http://schemas.openxmlformats.org/officeDocument/2006/relationships/hyperlink" Target="https://docs.ros.org/en/ros2_packages/rolling/api/foxglove_bridge/" TargetMode="External"/><Relationship Id="rId264" Type="http://schemas.openxmlformats.org/officeDocument/2006/relationships/hyperlink" Target="https://docs.ros.org/en/kilted/Related-Projects/Visualizing-ROS-2-Data-With-Foxglove.html" TargetMode="External"/><Relationship Id="rId265" Type="http://schemas.openxmlformats.org/officeDocument/2006/relationships/hyperlink" Target="https://github.com/foxglove/mcap/tree/main/docs/specification" TargetMode="External"/><Relationship Id="rId266" Type="http://schemas.openxmlformats.org/officeDocument/2006/relationships/hyperlink" Target="https://github.com/foxglove/mcap" TargetMode="External"/><Relationship Id="rId267" Type="http://schemas.openxmlformats.org/officeDocument/2006/relationships/hyperlink" Target="https://mcap.dev/" TargetMode="External"/><Relationship Id="rId268" Type="http://schemas.openxmlformats.org/officeDocument/2006/relationships/hyperlink" Target="https://foxglove.dev/blog/introducing-the-mcap-file-format" TargetMode="External"/><Relationship Id="rId269" Type="http://schemas.openxmlformats.org/officeDocument/2006/relationships/hyperlink" Target="https://foxglove.dev/product/mcap" TargetMode="External"/><Relationship Id="rId270" Type="http://schemas.openxmlformats.org/officeDocument/2006/relationships/hyperlink" Target="https://github.com/ros2/rosbag2" TargetMode="External"/><Relationship Id="rId271" Type="http://schemas.openxmlformats.org/officeDocument/2006/relationships/hyperlink" Target="https://docs.ros.org/en/kilted/Related-Projects/Visualizing-ROS-2-Data-With-Foxglove.html" TargetMode="External"/><Relationship Id="rId272" Type="http://schemas.openxmlformats.org/officeDocument/2006/relationships/hyperlink" Target="https://developer.nvidia.com/embedded/jetson-orin" TargetMode="External"/><Relationship Id="rId273" Type="http://schemas.openxmlformats.org/officeDocument/2006/relationships/hyperlink" Target="https://developer.nvidia.com/embedded/jetson-thor" TargetMode="External"/><Relationship Id="rId274" Type="http://schemas.openxmlformats.org/officeDocument/2006/relationships/hyperlink" Target="https://github.com/nvidia-cosmos/cosmos-cookbook" TargetMode="External"/><Relationship Id="rId275" Type="http://schemas.openxmlformats.org/officeDocument/2006/relationships/hyperlink" Target="https://docs.isaacsim.omniverse.nvidia.com/latest/" TargetMode="External"/><Relationship Id="rId276" Type="http://schemas.openxmlformats.org/officeDocument/2006/relationships/hyperlink" Target="https://www.raspberrypi.com/documentation/" TargetMode="External"/><Relationship Id="rId277" Type="http://schemas.openxmlformats.org/officeDocument/2006/relationships/hyperlink" Target="https://docs.espressif.com/projects/esp-idf/en/latest/" TargetMode="External"/><Relationship Id="rId278" Type="http://schemas.openxmlformats.org/officeDocument/2006/relationships/hyperlink" Target="https://micro.vulcanexus.org/docs/overview/hardware/" TargetMode="External"/><Relationship Id="rId279" Type="http://schemas.openxmlformats.org/officeDocument/2006/relationships/hyperlink" Target="https://docs.auterion.com/hardware-integration/skynode-s" TargetMode="External"/><Relationship Id="rId280" Type="http://schemas.openxmlformats.org/officeDocument/2006/relationships/hyperlink" Target="https://docs.auterion.com/hardware-integration/skynode-s/datasheet" TargetMode="External"/><Relationship Id="rId281" Type="http://schemas.openxmlformats.org/officeDocument/2006/relationships/hyperlink" Target="https://auterion.com/product/skynode-s/" TargetMode="External"/><Relationship Id="rId282" Type="http://schemas.openxmlformats.org/officeDocument/2006/relationships/hyperlink" Target="https://www.bitcraze.io/documentation/" TargetMode="External"/><Relationship Id="rId283" Type="http://schemas.openxmlformats.org/officeDocument/2006/relationships/hyperlink" Target="https://github.com/aerostack2/as2_platform_dji_psdk/tree/main/" TargetMode="External"/><Relationship Id="rId284" Type="http://schemas.openxmlformats.org/officeDocument/2006/relationships/hyperlink" Target="https://developer.dji.com/doc/payload-sdk-tutorial/en/" TargetMode="External"/><Relationship Id="rId285" Type="http://schemas.openxmlformats.org/officeDocument/2006/relationships/hyperlink" Target="https://emanual.robotis.com/docs/en/platform/turtlebot3/overview/" TargetMode="External"/><Relationship Id="rId286" Type="http://schemas.openxmlformats.org/officeDocument/2006/relationships/hyperlink" Target="https://docs.clearpathrobotics.com/docs/robots/outdoor_robots/jackal/" TargetMode="External"/><Relationship Id="rId287" Type="http://schemas.openxmlformats.org/officeDocument/2006/relationships/hyperlink" Target="https://shield.ai/v-bat/" TargetMode="External"/><Relationship Id="rId288" Type="http://schemas.openxmlformats.org/officeDocument/2006/relationships/hyperlink" Target="https://www.ga-asi.com/remotely-piloted-aircraft/avenger" TargetMode="External"/><Relationship Id="rId289" Type="http://schemas.openxmlformats.org/officeDocument/2006/relationships/hyperlink" Target="https://www.anduril.com/fury" TargetMode="External"/><Relationship Id="rId290" Type="http://schemas.openxmlformats.org/officeDocument/2006/relationships/hyperlink" Target="https://github.com/IMRCLab/motion_capture_tracking" TargetMode="External"/><Relationship Id="rId291" Type="http://schemas.openxmlformats.org/officeDocument/2006/relationships/hyperlink" Target="https://arxiv.org/abs/1904.08405" TargetMode="External"/><Relationship Id="rId292" Type="http://schemas.openxmlformats.org/officeDocument/2006/relationships/hyperlink" Target="https://buf.build/anduril/lattice-sdk/docs/main:anduril.taskmanager.v1" TargetMode="External"/><Relationship Id="rId293" Type="http://schemas.openxmlformats.org/officeDocument/2006/relationships/hyperlink" Target="https://developer.anduril.com/reference/overview/overview" TargetMode="External"/><Relationship Id="rId294" Type="http://schemas.openxmlformats.org/officeDocument/2006/relationships/hyperlink" Target="https://developer.anduril.com/guides/tasks/overview" TargetMode="External"/><Relationship Id="rId295" Type="http://schemas.openxmlformats.org/officeDocument/2006/relationships/hyperlink" Target="https://developer.anduril.com/" TargetMode="External"/><Relationship Id="rId296" Type="http://schemas.openxmlformats.org/officeDocument/2006/relationships/hyperlink" Target="https://developer.anduril.com/guides/concepts/overview" TargetMode="External"/><Relationship Id="rId297" Type="http://schemas.openxmlformats.org/officeDocument/2006/relationships/hyperlink" Target="https://developer.anduril.com/guides/tasks/listen" TargetMode="External"/><Relationship Id="rId298" Type="http://schemas.openxmlformats.org/officeDocument/2006/relationships/hyperlink" Target="https://developer.anduril.com/guides/entities/publish" TargetMode="External"/><Relationship Id="rId299" Type="http://schemas.openxmlformats.org/officeDocument/2006/relationships/hyperlink" Target="https://developer.anduril.com/guides/entities/watch" TargetMode="External"/><Relationship Id="rId300" Type="http://schemas.openxmlformats.org/officeDocument/2006/relationships/hyperlink" Target="https://github.com/anduril/lattice-sdk-python" TargetMode="External"/><Relationship Id="rId301" Type="http://schemas.openxmlformats.org/officeDocument/2006/relationships/hyperlink" Target="https://www.anduril.com/lattice/mission-autonomy" TargetMode="External"/><Relationship Id="rId302" Type="http://schemas.openxmlformats.org/officeDocument/2006/relationships/hyperlink" Target="https://www.anduril.com/lattice/command-and-control" TargetMode="External"/><Relationship Id="rId303" Type="http://schemas.openxmlformats.org/officeDocument/2006/relationships/hyperlink" Target="https://www.anduril.com/news/anduril-unveils-lattice-for-mission-autonomy" TargetMode="External"/><Relationship Id="rId304" Type="http://schemas.openxmlformats.org/officeDocument/2006/relationships/hyperlink" Target="https://www.anduril.com/news/anduril-s-lattice-a-trusted-dual-use-commercial-and-military-platform-for-public-safety-security" TargetMode="External"/><Relationship Id="rId305" Type="http://schemas.openxmlformats.org/officeDocument/2006/relationships/hyperlink" Target="https://shield.ai/hivemind-edgeos-a-game-changer-for-autonomous-robotics/" TargetMode="External"/><Relationship Id="rId306" Type="http://schemas.openxmlformats.org/officeDocument/2006/relationships/hyperlink" Target="https://shield.ai/edge-os/" TargetMode="External"/><Relationship Id="rId307" Type="http://schemas.openxmlformats.org/officeDocument/2006/relationships/hyperlink" Target="https://shield.ai/from-concept-to-combat-how-hivemind-sdk-powers-next-gen-autonomy/" TargetMode="External"/><Relationship Id="rId308" Type="http://schemas.openxmlformats.org/officeDocument/2006/relationships/hyperlink" Target="https://shield.ai/resilient-shield-strengthening-hivemind-for-safe-real-world-flight/" TargetMode="External"/><Relationship Id="rId309" Type="http://schemas.openxmlformats.org/officeDocument/2006/relationships/hyperlink" Target="https://shield.ai/the-smartest-way-to-build-autonomy-not-alone/" TargetMode="External"/><Relationship Id="rId310" Type="http://schemas.openxmlformats.org/officeDocument/2006/relationships/hyperlink" Target="https://www.therobotreport.com/shield-ai-raises-250m-scale-hivemind-enterprise-autonomy-developer-platform/" TargetMode="External"/><Relationship Id="rId311" Type="http://schemas.openxmlformats.org/officeDocument/2006/relationships/hyperlink" Target="https://docs.auterion.com/" TargetMode="External"/><Relationship Id="rId312" Type="http://schemas.openxmlformats.org/officeDocument/2006/relationships/hyperlink" Target="https://docs.auterion.com/llms.txt" TargetMode="External"/><Relationship Id="rId313" Type="http://schemas.openxmlformats.org/officeDocument/2006/relationships/hyperlink" Target="https://docs.auterion.com/app-development/auterion-sdk" TargetMode="External"/><Relationship Id="rId314" Type="http://schemas.openxmlformats.org/officeDocument/2006/relationships/hyperlink" Target="https://docs.px4.io/main/en/companion_computer/auterion_skynode" TargetMode="External"/><Relationship Id="rId315" Type="http://schemas.openxmlformats.org/officeDocument/2006/relationships/hyperlink" Target="https://auterion.com/auterion-launches-nemyx-enabling-fully-coordinated-drone-swarms/" TargetMode="External"/><Relationship Id="rId316" Type="http://schemas.openxmlformats.org/officeDocument/2006/relationships/hyperlink" Target="https://auterion.com/auterion-performs-worlds-first-multi-manufacturer-swarm-strike-demonstration/" TargetMode="External"/><Relationship Id="rId317" Type="http://schemas.openxmlformats.org/officeDocument/2006/relationships/hyperlink" Target="https://auterion.com/auterion-global-first-drone-swarm-live-fire/" TargetMode="External"/><Relationship Id="rId318" Type="http://schemas.openxmlformats.org/officeDocument/2006/relationships/hyperlink" Target="https://dronelife.com/2025/09/03/auterion-announces-new-drone-swarm-strike-ai/" TargetMode="External"/><Relationship Id="rId319" Type="http://schemas.openxmlformats.org/officeDocument/2006/relationships/hyperlink" Target="https://apidocs.skydio.com/reference/introduction" TargetMode="External"/><Relationship Id="rId320" Type="http://schemas.openxmlformats.org/officeDocument/2006/relationships/hyperlink" Target="https://support.skydio.com/hc/en-us/articles/4402745311259-Skydio-Cloud-Release-Notes" TargetMode="External"/><Relationship Id="rId321" Type="http://schemas.openxmlformats.org/officeDocument/2006/relationships/hyperlink" Target="https://www.skydio.com/software" TargetMode="External"/><Relationship Id="rId322" Type="http://schemas.openxmlformats.org/officeDocument/2006/relationships/hyperlink" Target="https://www.skydio.com/blog/skydio-cloud-autonomous-connected-flight-operations" TargetMode="External"/><Relationship Id="rId323" Type="http://schemas.openxmlformats.org/officeDocument/2006/relationships/hyperlink" Target="https://www.palladyneai.com/press-releases/palladyne-ai-and-red-cat-announce-first-successful-multi-drone-collaborative-autonomous-flight/" TargetMode="External"/><Relationship Id="rId324" Type="http://schemas.openxmlformats.org/officeDocument/2006/relationships/hyperlink" Target="https://investor.palladyneai.com/news-releases/news-release-details/palladyne-ai-and-red-cat-announce-successful-completion-cross" TargetMode="External"/><Relationship Id="rId325" Type="http://schemas.openxmlformats.org/officeDocument/2006/relationships/hyperlink" Target="https://www.shephardmedia.com/news/uv-online/palladyne-aired-cat-to-demonstrate-capabilities-for-autonomous-drone-swarms-to-the-us-military/" TargetMode="External"/><Relationship Id="rId326" Type="http://schemas.openxmlformats.org/officeDocument/2006/relationships/hyperlink" Target="https://www.tradingview.com/news/tradingview:fef2f30841674:0-swarmer-software-platform-for-autonomous-drone-swarms-and-battlefield-ai-files-for-nasdaq-capital-market-ipo/" TargetMode="External"/><Relationship Id="rId327" Type="http://schemas.openxmlformats.org/officeDocument/2006/relationships/hyperlink" Target="https://www.kyivpost.com/post/60321" TargetMode="External"/><Relationship Id="rId328" Type="http://schemas.openxmlformats.org/officeDocument/2006/relationships/hyperlink" Target="https://skybrush.io/" TargetMode="External"/><Relationship Id="rId329" Type="http://schemas.openxmlformats.org/officeDocument/2006/relationships/hyperlink" Target="https://github.com/alonfaraj/AirSim" TargetMode="External"/><Relationship Id="rId330" Type="http://schemas.openxmlformats.org/officeDocument/2006/relationships/hyperlink" Target="https://arxiv.org/abs/2307.16788" TargetMode="External"/><Relationship Id="rId331" Type="http://schemas.openxmlformats.org/officeDocument/2006/relationships/hyperlink" Target="https://dl.acm.org/doi/10.1145/3457356.3457362" TargetMode="External"/><Relationship Id="rId332" Type="http://schemas.openxmlformats.org/officeDocument/2006/relationships/hyperlink" Target="https://www.darpa.mil/news/2021/offset-swarms-take-flight" TargetMode="External"/><Relationship Id="rId333" Type="http://schemas.openxmlformats.org/officeDocument/2006/relationships/hyperlink" Target="https://www.researchgate.net/publication/367321998_DARPA_OFFSET_A_Vision_for_Advanced_Swarm_Systems_through_Agile_Technology_Development_and_ExperimentationDARPA_OFFSET_A_Vision_for_Advanced_Swarm_Systems_through_Agile_Technology_Development_and_Exper" TargetMode="External"/><Relationship Id="rId334" Type="http://schemas.openxmlformats.org/officeDocument/2006/relationships/hyperlink" Target="https://www.darpa.mil/news/2020/offset-swarm-urban-raid" TargetMode="External"/><Relationship Id="rId335" Type="http://schemas.openxmlformats.org/officeDocument/2006/relationships/hyperlink" Target="https://ieeexplore.ieee.org/document/10757440" TargetMode="External"/><Relationship Id="rId336" Type="http://schemas.openxmlformats.org/officeDocument/2006/relationships/hyperlink" Target="https://dsiac.dtic.mil/articles/darpa-offset-autonomous-drone-swarms-for-warfighters/" TargetMode="External"/><Relationship Id="rId337" Type="http://schemas.openxmlformats.org/officeDocument/2006/relationships/hyperlink" Target="https://arxiv.org/pdf/2212.03106" TargetMode="External"/><Relationship Id="rId338" Type="http://schemas.openxmlformats.org/officeDocument/2006/relationships/hyperlink" Target="https://arxiv.org/pdf/2006.06081" TargetMode="External"/><Relationship Id="rId339" Type="http://schemas.openxmlformats.org/officeDocument/2006/relationships/hyperlink" Target="https://www.researchgate.net/publication/349000430_ROS-NetSim_A_Framework_for_the_Integration_of_Robotic_and_Network_Simulators" TargetMode="External"/><Relationship Id="rId340" Type="http://schemas.openxmlformats.org/officeDocument/2006/relationships/hyperlink" Target="https://par.nsf.gov/servlets/purl/10297241" TargetMode="External"/><Relationship Id="rId341" Type="http://schemas.openxmlformats.org/officeDocument/2006/relationships/hyperlink" Target="https://par.nsf.gov/servlets/purl/10297241" TargetMode="External"/><Relationship Id="rId342" Type="http://schemas.openxmlformats.org/officeDocument/2006/relationships/hyperlink" Target="https://arxiv.org/abs/2208.06569" TargetMode="External"/><Relationship Id="rId343" Type="http://schemas.openxmlformats.org/officeDocument/2006/relationships/hyperlink" Target="https://arxiv.org/abs/2109.06979" TargetMode="External"/><Relationship Id="rId344" Type="http://schemas.openxmlformats.org/officeDocument/2006/relationships/hyperlink" Target="https://github.com/intrig-unicamp/mininet-wifi" TargetMode="External"/><Relationship Id="rId345" Type="http://schemas.openxmlformats.org/officeDocument/2006/relationships/hyperlink" Target="https://arxiv.org/abs/2505.06771" TargetMode="External"/><Relationship Id="rId346" Type="http://schemas.openxmlformats.org/officeDocument/2006/relationships/hyperlink" Target="https://arxiv.org/abs/2603.28032" TargetMode="External"/><Relationship Id="rId347" Type="http://schemas.openxmlformats.org/officeDocument/2006/relationships/hyperlink" Target="https://github.com/louiszengCN/CarlaAir" TargetMode="External"/><Relationship Id="rId348" Type="http://schemas.openxmlformats.org/officeDocument/2006/relationships/hyperlink" Target="https://arxiv.org/abs/2605.31066" TargetMode="External"/><Relationship Id="rId349" Type="http://schemas.openxmlformats.org/officeDocument/2006/relationships/hyperlink" Target="https://www.bitcraze.io/2026/09/running-tapestry-os-on-the-crazyflie-collective-behavior-without-writing-firmware/" TargetMode="External"/><Relationship Id="rId350" Type="http://schemas.openxmlformats.org/officeDocument/2006/relationships/hyperlink" Target="https://docs.px4.io/main/en/ros2/user_guide" TargetMode="External"/><Relationship Id="rId351" Type="http://schemas.openxmlformats.org/officeDocument/2006/relationships/hyperlink" Target="https://docs.vulcanexus.org/en/latest/rst/microros_documentation/index.html" TargetMode="External"/><Relationship Id="rId352" Type="http://schemas.openxmlformats.org/officeDocument/2006/relationships/hyperlink" Target="https://docs.foxglove.dev/docs/fleet" TargetMode="External"/><Relationship Id="rId353" Type="http://schemas.openxmlformats.org/officeDocument/2006/relationships/hyperlink" Target="https://arxiv.org/abs/2605.12735" TargetMode="External"/><Relationship Id="rId354" Type="http://schemas.openxmlformats.org/officeDocument/2006/relationships/hyperlink" Target="https://arxiv.org/abs/2605.12735" TargetMode="External"/><Relationship Id="rId355" Type="http://schemas.openxmlformats.org/officeDocument/2006/relationships/hyperlink" Target="https://github.com/castacks/PegasusSimulator-AirStack-Integration" TargetMode="External"/><Relationship Id="rId356" Type="http://schemas.openxmlformats.org/officeDocument/2006/relationships/hyperlink" Target="https://github.com/MISTLab/ROSBuzz" TargetMode="External"/><Relationship Id="rId357" Type="http://schemas.openxmlformats.org/officeDocument/2006/relationships/hyperlink" Target="https://github.com/OPT4SMART/disropt" TargetMode="External"/><Relationship Id="rId358" Type="http://schemas.openxmlformats.org/officeDocument/2006/relationships/hyperlink" Target="https://shield.ai/resilient-shield-strengthening-hivemind-for-safe-real-world-flight/" TargetMode="External"/><Relationship Id="rId359" Type="http://schemas.openxmlformats.org/officeDocument/2006/relationships/hyperlink" Target="https://www.darpa.mil/news/2021/offset-swarms-take-flight" TargetMode="External"/><Relationship Id="rId360" Type="http://schemas.openxmlformats.org/officeDocument/2006/relationships/hyperlink" Target="https://developer.nvidia.com/newton-physics" TargetMode="External"/><Relationship Id="rId361" Type="http://schemas.openxmlformats.org/officeDocument/2006/relationships/hyperlink" Target="https://playground.mujoco.org/" TargetMode="External"/><Relationship Id="rId362" Type="http://schemas.openxmlformats.org/officeDocument/2006/relationships/hyperlink" Target="https://medium.com/buvcg-research/anduril-industries-deep-dive-6949c7dd41c7" TargetMode="External"/><Relationship Id="rId363" Type="http://schemas.openxmlformats.org/officeDocument/2006/relationships/table" Target="../tables/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hyperlink" Target="https://docs.px4.io/main/en/simulation/" TargetMode="External"/><Relationship Id="rId2" Type="http://schemas.openxmlformats.org/officeDocument/2006/relationships/hyperlink" Target="https://docs.px4.io/main/en/simulation/hitl.html" TargetMode="External"/><Relationship Id="rId3" Type="http://schemas.openxmlformats.org/officeDocument/2006/relationships/hyperlink" Target="https://arxiv.org/abs/2009.13303" TargetMode="External"/><Relationship Id="rId4" Type="http://schemas.openxmlformats.org/officeDocument/2006/relationships/hyperlink" Target="https://arxiv.org/abs/1703.06907" TargetMode="External"/><Relationship Id="rId5" Type="http://schemas.openxmlformats.org/officeDocument/2006/relationships/hyperlink" Target="https://en.wikipedia.org/wiki/System_identification" TargetMode="External"/><Relationship Id="rId6" Type="http://schemas.openxmlformats.org/officeDocument/2006/relationships/hyperlink" Target="https://arxiv.org/abs/2501.00372" TargetMode="External"/><Relationship Id="rId7" Type="http://schemas.openxmlformats.org/officeDocument/2006/relationships/hyperlink" Target="https://arxiv.org/abs/2308.04079" TargetMode="External"/><Relationship Id="rId8" Type="http://schemas.openxmlformats.org/officeDocument/2006/relationships/hyperlink" Target="https://nvlabs.github.io/sionna/rt" TargetMode="External"/><Relationship Id="rId9" Type="http://schemas.openxmlformats.org/officeDocument/2006/relationships/hyperlink" Target="https://github.com/NVIDIA-ISAAC-ROS/isaac_ros_visual_slam" TargetMode="External"/><Relationship Id="rId10" Type="http://schemas.openxmlformats.org/officeDocument/2006/relationships/hyperlink" Target="https://arxiv.org/abs/2007.11898" TargetMode="External"/><Relationship Id="rId11" Type="http://schemas.openxmlformats.org/officeDocument/2006/relationships/hyperlink" Target="https://arxiv.org/abs/2106.14386" TargetMode="External"/><Relationship Id="rId12" Type="http://schemas.openxmlformats.org/officeDocument/2006/relationships/hyperlink" Target="https://arxiv.org/abs/2106.14386" TargetMode="External"/><Relationship Id="rId13" Type="http://schemas.openxmlformats.org/officeDocument/2006/relationships/hyperlink" Target="http://incompleteideas.net/book/the-book-2nd.html" TargetMode="External"/><Relationship Id="rId14" Type="http://schemas.openxmlformats.org/officeDocument/2006/relationships/hyperlink" Target="https://arxiv.org/abs/1811.06711" TargetMode="External"/><Relationship Id="rId15" Type="http://schemas.openxmlformats.org/officeDocument/2006/relationships/hyperlink" Target="https://www.marl-book.com/" TargetMode="External"/><Relationship Id="rId16" Type="http://schemas.openxmlformats.org/officeDocument/2006/relationships/hyperlink" Target="https://arxiv.org/abs/1602.05629" TargetMode="External"/><Relationship Id="rId17" Type="http://schemas.openxmlformats.org/officeDocument/2006/relationships/hyperlink" Target="https://arxiv.org/abs/1708.08611" TargetMode="External"/><Relationship Id="rId18" Type="http://schemas.openxmlformats.org/officeDocument/2006/relationships/hyperlink" Target="https://arxiv.org/abs/1503.02531" TargetMode="External"/><Relationship Id="rId19" Type="http://schemas.openxmlformats.org/officeDocument/2006/relationships/hyperlink" Target="https://arxiv.org/abs/1712.05877" TargetMode="External"/><Relationship Id="rId20" Type="http://schemas.openxmlformats.org/officeDocument/2006/relationships/hyperlink" Target="https://arxiv.org/abs/2103.04505" TargetMode="External"/><Relationship Id="rId21" Type="http://schemas.openxmlformats.org/officeDocument/2006/relationships/hyperlink" Target="https://doi.org/10.1109/TRO.2009.2022423" TargetMode="External"/><Relationship Id="rId22" Type="http://schemas.openxmlformats.org/officeDocument/2006/relationships/hyperlink" Target="https://doi.org/10.1109/TRO.2009.2022423" TargetMode="External"/><Relationship Id="rId23" Type="http://schemas.openxmlformats.org/officeDocument/2006/relationships/hyperlink" Target="https://arxiv.org/abs/2309.04257" TargetMode="External"/><Relationship Id="rId24" Type="http://schemas.openxmlformats.org/officeDocument/2006/relationships/hyperlink" Target="https://arxiv.org/abs/2010.13431" TargetMode="External"/><Relationship Id="rId25" Type="http://schemas.openxmlformats.org/officeDocument/2006/relationships/hyperlink" Target="https://doi.org/10.1016/j.automatica.2014.10.022" TargetMode="External"/><Relationship Id="rId26" Type="http://schemas.openxmlformats.org/officeDocument/2006/relationships/hyperlink" Target="https://doi.org/10.1109/TAC.2005.864190" TargetMode="External"/><Relationship Id="rId27" Type="http://schemas.openxmlformats.org/officeDocument/2006/relationships/hyperlink" Target="https://doi.org/10.1109/CDC.2012.6425820" TargetMode="External"/><Relationship Id="rId28" Type="http://schemas.openxmlformats.org/officeDocument/2006/relationships/hyperlink" Target="https://arxiv.org/abs/1507.05946" TargetMode="External"/><Relationship Id="rId29" Type="http://schemas.openxmlformats.org/officeDocument/2006/relationships/hyperlink" Target="https://apps.dtic.mil/sti/tr/pdf/ADA559856.pdf" TargetMode="External"/><Relationship Id="rId30" Type="http://schemas.openxmlformats.org/officeDocument/2006/relationships/hyperlink" Target="https://doi.org/10.1109/TRA.2004.824698" TargetMode="External"/><Relationship Id="rId31" Type="http://schemas.openxmlformats.org/officeDocument/2006/relationships/hyperlink" Target="https://arxiv.org/abs/2209.04808" TargetMode="External"/><Relationship Id="rId32" Type="http://schemas.openxmlformats.org/officeDocument/2006/relationships/hyperlink" Target="https://arxiv.org/abs/1703.06114" TargetMode="External"/><Relationship Id="rId33" Type="http://schemas.openxmlformats.org/officeDocument/2006/relationships/hyperlink" Target="https://arxiv.org/abs/1912.06095" TargetMode="External"/><Relationship Id="rId34" Type="http://schemas.openxmlformats.org/officeDocument/2006/relationships/hyperlink" Target="https://hal.inria.fr/inria-00609399" TargetMode="External"/><Relationship Id="rId35" Type="http://schemas.openxmlformats.org/officeDocument/2006/relationships/hyperlink" Target="https://doi.org/10.1145/1435417.1435432" TargetMode="External"/><Relationship Id="rId36" Type="http://schemas.openxmlformats.org/officeDocument/2006/relationships/hyperlink" Target="https://doi.org/10.1145/41840.41841" TargetMode="External"/><Relationship Id="rId37" Type="http://schemas.openxmlformats.org/officeDocument/2006/relationships/hyperlink" Target="https://doi.org/10.1109/INFCOM.2012.6195689" TargetMode="External"/><Relationship Id="rId38" Type="http://schemas.openxmlformats.org/officeDocument/2006/relationships/hyperlink" Target="https://arxiv.org/abs/2508.07720" TargetMode="External"/><Relationship Id="rId39" Type="http://schemas.openxmlformats.org/officeDocument/2006/relationships/hyperlink" Target="https://www.rfc-editor.org/rfc/rfc9315" TargetMode="External"/><Relationship Id="rId40" Type="http://schemas.openxmlformats.org/officeDocument/2006/relationships/hyperlink" Target="https://www.rfc-editor.org/rfc/rfc2501" TargetMode="External"/><Relationship Id="rId41" Type="http://schemas.openxmlformats.org/officeDocument/2006/relationships/hyperlink" Target="https://en.wikipedia.org/wiki/Linear_temporal_logic" TargetMode="External"/><Relationship Id="rId42" Type="http://schemas.openxmlformats.org/officeDocument/2006/relationships/hyperlink" Target="https://github.com/afrl-rq/OpenUxAS" TargetMode="External"/><Relationship Id="rId43" Type="http://schemas.openxmlformats.org/officeDocument/2006/relationships/hyperlink" Target="https://arxiv.org/abs/2501.16539" TargetMode="External"/><Relationship Id="rId44" Type="http://schemas.openxmlformats.org/officeDocument/2006/relationships/hyperlink" Target="https://arxiv.org/abs/2307.01928" TargetMode="External"/><Relationship Id="rId45" Type="http://schemas.openxmlformats.org/officeDocument/2006/relationships/hyperlink" Target="https://arxiv.org/abs/2309.10062" TargetMode="External"/><Relationship Id="rId46" Type="http://schemas.openxmlformats.org/officeDocument/2006/relationships/hyperlink" Target="https://pmg.csail.mit.edu/papers/osdi99.pdf" TargetMode="External"/><Relationship Id="rId47" Type="http://schemas.openxmlformats.org/officeDocument/2006/relationships/hyperlink" Target="https://doi.org/10.1109/JSAC.2013.130413" TargetMode="External"/><Relationship Id="rId48" Type="http://schemas.openxmlformats.org/officeDocument/2006/relationships/hyperlink" Target="https://arxiv.org/abs/2108.13154" TargetMode="External"/><Relationship Id="rId49" Type="http://schemas.openxmlformats.org/officeDocument/2006/relationships/hyperlink" Target="https://en.wikipedia.org/wiki/Physical_unclonable_function" TargetMode="External"/><Relationship Id="rId50" Type="http://schemas.openxmlformats.org/officeDocument/2006/relationships/hyperlink" Target="https://csrc.nist.gov/pubs/sp/800/207/final" TargetMode="External"/><Relationship Id="rId51" Type="http://schemas.openxmlformats.org/officeDocument/2006/relationships/hyperlink" Target="https://arxiv.org/abs/1412.6572" TargetMode="External"/><Relationship Id="rId52" Type="http://schemas.openxmlformats.org/officeDocument/2006/relationships/hyperlink" Target="https://en.wikipedia.org/wiki/Runtime_verification" TargetMode="External"/><Relationship Id="rId53" Type="http://schemas.openxmlformats.org/officeDocument/2006/relationships/hyperlink" Target="https://doi.org/10.1109/MS.2001.936213" TargetMode="External"/><Relationship Id="rId54" Type="http://schemas.openxmlformats.org/officeDocument/2006/relationships/hyperlink" Target="https://en.wikipedia.org/wiki/Statistical_model_checking" TargetMode="External"/><Relationship Id="rId55" Type="http://schemas.openxmlformats.org/officeDocument/2006/relationships/hyperlink" Target="https://arxiv.org/abs/2503.13784" TargetMode="External"/><Relationship Id="rId56" Type="http://schemas.openxmlformats.org/officeDocument/2006/relationships/hyperlink" Target="https://docs.ros.org/en/jazzy/Concepts/About-Quality-of-Service-Settings.html" TargetMode="External"/><Relationship Id="rId57" Type="http://schemas.openxmlformats.org/officeDocument/2006/relationships/hyperlink" Target="https://en.wikipedia.org/wiki/Energy_harvesting" TargetMode="External"/><Relationship Id="rId58" Type="http://schemas.openxmlformats.org/officeDocument/2006/relationships/hyperlink" Target="https://arxiv.org/abs/2307.16788" TargetMode="External"/><Relationship Id="rId59" Type="http://schemas.openxmlformats.org/officeDocument/2006/relationships/table" Target="../tables/table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130"/>
  </cols>
  <sheetData>
    <row r="1" customFormat="false" ht="17.35" hidden="false" customHeight="false" outlineLevel="0" collapsed="false">
      <c r="A1" s="2" t="s">
        <v>0</v>
      </c>
    </row>
    <row r="2" customFormat="false" ht="15" hidden="false" customHeight="false" outlineLevel="0" collapsed="false">
      <c r="A2" s="3" t="s">
        <v>1</v>
      </c>
    </row>
    <row r="3" customFormat="false" ht="15" hidden="false" customHeight="false" outlineLevel="0" collapsed="false">
      <c r="A3" s="3"/>
    </row>
    <row r="4" customFormat="false" ht="15" hidden="false" customHeight="false" outlineLevel="0" collapsed="false">
      <c r="A4" s="4" t="s">
        <v>2</v>
      </c>
    </row>
    <row r="5" customFormat="false" ht="23.85" hidden="false" customHeight="false" outlineLevel="0" collapsed="false">
      <c r="A5" s="3" t="s">
        <v>3</v>
      </c>
    </row>
    <row r="6" customFormat="false" ht="15" hidden="false" customHeight="false" outlineLevel="0" collapsed="false">
      <c r="A6" s="3" t="s">
        <v>4</v>
      </c>
    </row>
    <row r="7" customFormat="false" ht="46.25" hidden="false" customHeight="false" outlineLevel="0" collapsed="false">
      <c r="A7" s="3" t="s">
        <v>5</v>
      </c>
    </row>
    <row r="8" customFormat="false" ht="23.85" hidden="false" customHeight="false" outlineLevel="0" collapsed="false">
      <c r="A8" s="3" t="s">
        <v>6</v>
      </c>
    </row>
    <row r="9" customFormat="false" ht="23.85" hidden="false" customHeight="false" outlineLevel="0" collapsed="false">
      <c r="A9" s="3" t="s">
        <v>7</v>
      </c>
    </row>
    <row r="10" customFormat="false" ht="23.85" hidden="false" customHeight="false" outlineLevel="0" collapsed="false">
      <c r="A10" s="3" t="s">
        <v>8</v>
      </c>
    </row>
    <row r="11" customFormat="false" ht="15" hidden="false" customHeight="false" outlineLevel="0" collapsed="false">
      <c r="A11" s="3" t="s">
        <v>9</v>
      </c>
    </row>
    <row r="12" customFormat="false" ht="15" hidden="false" customHeight="false" outlineLevel="0" collapsed="false">
      <c r="A12" s="3"/>
    </row>
    <row r="13" customFormat="false" ht="15" hidden="false" customHeight="false" outlineLevel="0" collapsed="false">
      <c r="A13" s="4" t="s">
        <v>10</v>
      </c>
    </row>
    <row r="14" customFormat="false" ht="23.85" hidden="false" customHeight="false" outlineLevel="0" collapsed="false">
      <c r="A14" s="3" t="s">
        <v>11</v>
      </c>
    </row>
    <row r="15" customFormat="false" ht="23.85" hidden="false" customHeight="false" outlineLevel="0" collapsed="false">
      <c r="A15" s="3" t="s">
        <v>12</v>
      </c>
    </row>
    <row r="16" customFormat="false" ht="15" hidden="false" customHeight="false" outlineLevel="0" collapsed="false">
      <c r="A16" s="3" t="s">
        <v>13</v>
      </c>
    </row>
    <row r="17" customFormat="false" ht="23.85" hidden="false" customHeight="false" outlineLevel="0" collapsed="false">
      <c r="A17" s="3" t="s">
        <v>14</v>
      </c>
    </row>
    <row r="18" customFormat="false" ht="23.85" hidden="false" customHeight="false" outlineLevel="0" collapsed="false">
      <c r="A18" s="3" t="s">
        <v>15</v>
      </c>
    </row>
    <row r="19" customFormat="false" ht="15" hidden="false" customHeight="false" outlineLevel="0" collapsed="false">
      <c r="A19" s="3" t="s">
        <v>16</v>
      </c>
    </row>
    <row r="20" customFormat="false" ht="15" hidden="false" customHeight="false" outlineLevel="0" collapsed="false">
      <c r="A20" s="3" t="s">
        <v>17</v>
      </c>
    </row>
    <row r="21" customFormat="false" ht="15" hidden="false" customHeight="false" outlineLevel="0" collapsed="false">
      <c r="A21" s="3"/>
    </row>
    <row r="22" customFormat="false" ht="15" hidden="false" customHeight="false" outlineLevel="0" collapsed="false">
      <c r="A22" s="4" t="s">
        <v>18</v>
      </c>
    </row>
    <row r="23" customFormat="false" ht="35.05" hidden="false" customHeight="false" outlineLevel="0" collapsed="false">
      <c r="A23" s="3" t="s">
        <v>19</v>
      </c>
    </row>
    <row r="24" customFormat="false" ht="23.85" hidden="false" customHeight="false" outlineLevel="0" collapsed="false">
      <c r="A24" s="3" t="s">
        <v>20</v>
      </c>
    </row>
    <row r="25" customFormat="false" ht="15" hidden="false" customHeight="false" outlineLevel="0" collapsed="false">
      <c r="A25" s="3" t="s">
        <v>21</v>
      </c>
    </row>
    <row r="26" customFormat="false" ht="15" hidden="false" customHeight="false" outlineLevel="0" collapsed="false">
      <c r="A26" s="3" t="s">
        <v>22</v>
      </c>
    </row>
    <row r="27" customFormat="false" ht="23.85" hidden="false" customHeight="false" outlineLevel="0" collapsed="false">
      <c r="A27" s="3" t="s">
        <v>23</v>
      </c>
    </row>
    <row r="28" customFormat="false" ht="15" hidden="false" customHeight="false" outlineLevel="0" collapsed="false">
      <c r="A28" s="3" t="s">
        <v>24</v>
      </c>
    </row>
    <row r="29" customFormat="false" ht="23.85" hidden="false" customHeight="false" outlineLevel="0" collapsed="false">
      <c r="A29" s="3" t="s">
        <v>25</v>
      </c>
    </row>
    <row r="30" customFormat="false" ht="15" hidden="false" customHeight="false" outlineLevel="0" collapsed="false">
      <c r="A30" s="3" t="s">
        <v>26</v>
      </c>
    </row>
    <row r="31" customFormat="false" ht="15" hidden="false" customHeight="false" outlineLevel="0" collapsed="false">
      <c r="A31" s="3" t="s">
        <v>27</v>
      </c>
    </row>
    <row r="32" customFormat="false" ht="15" hidden="false" customHeight="false" outlineLevel="0" collapsed="false">
      <c r="A32" s="3" t="s">
        <v>28</v>
      </c>
    </row>
    <row r="33" customFormat="false" ht="15" hidden="false" customHeight="false" outlineLevel="0" collapsed="false">
      <c r="A33" s="3"/>
    </row>
    <row r="34" customFormat="false" ht="15" hidden="false" customHeight="false" outlineLevel="0" collapsed="false">
      <c r="A34" s="4" t="s">
        <v>29</v>
      </c>
    </row>
    <row r="35" customFormat="false" ht="15" hidden="false" customHeight="false" outlineLevel="0" collapsed="false">
      <c r="A35" s="3" t="s">
        <v>30</v>
      </c>
    </row>
    <row r="36" customFormat="false" ht="15" hidden="false" customHeight="false" outlineLevel="0" collapsed="false">
      <c r="A36" s="3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14"/>
    <col collapsed="false" customWidth="true" hidden="false" outlineLevel="0" max="3" min="3" style="1" width="24"/>
    <col collapsed="false" customWidth="true" hidden="false" outlineLevel="0" max="4" min="4" style="1" width="30"/>
    <col collapsed="false" customWidth="true" hidden="false" outlineLevel="0" max="5" min="5" style="1" width="70"/>
    <col collapsed="false" customWidth="true" hidden="false" outlineLevel="0" max="6" min="6" style="1" width="40"/>
    <col collapsed="false" customWidth="true" hidden="false" outlineLevel="0" max="7" min="7" style="1" width="50"/>
  </cols>
  <sheetData>
    <row r="1" customFormat="false" ht="23.85" hidden="false" customHeight="false" outlineLevel="0" collapsed="false">
      <c r="A1" s="5" t="s">
        <v>32</v>
      </c>
      <c r="B1" s="5" t="s">
        <v>33</v>
      </c>
      <c r="C1" s="5" t="s">
        <v>34</v>
      </c>
      <c r="D1" s="5" t="s">
        <v>35</v>
      </c>
      <c r="E1" s="5" t="s">
        <v>36</v>
      </c>
      <c r="F1" s="5" t="s">
        <v>37</v>
      </c>
      <c r="G1" s="5" t="s">
        <v>38</v>
      </c>
    </row>
    <row r="2" customFormat="false" ht="23.85" hidden="false" customHeight="false" outlineLevel="0" collapsed="false">
      <c r="A2" s="3" t="s">
        <v>39</v>
      </c>
      <c r="B2" s="6" t="s">
        <v>40</v>
      </c>
      <c r="C2" s="3" t="s">
        <v>41</v>
      </c>
      <c r="D2" s="3" t="s">
        <v>42</v>
      </c>
      <c r="E2" s="3" t="s">
        <v>43</v>
      </c>
      <c r="F2" s="3" t="s">
        <v>44</v>
      </c>
      <c r="G2" s="3" t="s">
        <v>45</v>
      </c>
    </row>
    <row r="3" customFormat="false" ht="23.85" hidden="false" customHeight="false" outlineLevel="0" collapsed="false">
      <c r="A3" s="3" t="s">
        <v>46</v>
      </c>
      <c r="B3" s="6" t="s">
        <v>40</v>
      </c>
      <c r="C3" s="3" t="s">
        <v>47</v>
      </c>
      <c r="D3" s="3" t="s">
        <v>48</v>
      </c>
      <c r="E3" s="3" t="s">
        <v>49</v>
      </c>
      <c r="F3" s="3" t="s">
        <v>50</v>
      </c>
      <c r="G3" s="3" t="s">
        <v>51</v>
      </c>
    </row>
    <row r="4" customFormat="false" ht="23.85" hidden="false" customHeight="false" outlineLevel="0" collapsed="false">
      <c r="A4" s="3" t="s">
        <v>52</v>
      </c>
      <c r="B4" s="6" t="s">
        <v>40</v>
      </c>
      <c r="C4" s="3" t="s">
        <v>47</v>
      </c>
      <c r="D4" s="3" t="s">
        <v>53</v>
      </c>
      <c r="E4" s="3" t="s">
        <v>54</v>
      </c>
      <c r="F4" s="3" t="s">
        <v>55</v>
      </c>
      <c r="G4" s="3" t="s">
        <v>56</v>
      </c>
    </row>
    <row r="5" customFormat="false" ht="23.85" hidden="false" customHeight="false" outlineLevel="0" collapsed="false">
      <c r="A5" s="3" t="s">
        <v>57</v>
      </c>
      <c r="B5" s="6" t="s">
        <v>40</v>
      </c>
      <c r="C5" s="3" t="s">
        <v>58</v>
      </c>
      <c r="D5" s="3" t="s">
        <v>59</v>
      </c>
      <c r="E5" s="3" t="s">
        <v>60</v>
      </c>
      <c r="F5" s="3" t="s">
        <v>61</v>
      </c>
      <c r="G5" s="3" t="s">
        <v>62</v>
      </c>
    </row>
    <row r="6" customFormat="false" ht="23.85" hidden="false" customHeight="false" outlineLevel="0" collapsed="false">
      <c r="A6" s="3" t="s">
        <v>63</v>
      </c>
      <c r="B6" s="6" t="s">
        <v>40</v>
      </c>
      <c r="C6" s="3" t="s">
        <v>64</v>
      </c>
      <c r="D6" s="3" t="s">
        <v>65</v>
      </c>
      <c r="E6" s="3" t="s">
        <v>66</v>
      </c>
      <c r="F6" s="3" t="s">
        <v>67</v>
      </c>
      <c r="G6" s="3" t="s">
        <v>68</v>
      </c>
    </row>
    <row r="7" customFormat="false" ht="15" hidden="false" customHeight="false" outlineLevel="0" collapsed="false">
      <c r="A7" s="3" t="s">
        <v>69</v>
      </c>
      <c r="B7" s="6" t="s">
        <v>40</v>
      </c>
      <c r="C7" s="3" t="s">
        <v>70</v>
      </c>
      <c r="D7" s="3" t="s">
        <v>71</v>
      </c>
      <c r="E7" s="3" t="s">
        <v>72</v>
      </c>
      <c r="F7" s="3" t="s">
        <v>73</v>
      </c>
      <c r="G7" s="3" t="s">
        <v>74</v>
      </c>
    </row>
    <row r="8" customFormat="false" ht="23.85" hidden="false" customHeight="false" outlineLevel="0" collapsed="false">
      <c r="A8" s="3" t="s">
        <v>75</v>
      </c>
      <c r="B8" s="7" t="s">
        <v>76</v>
      </c>
      <c r="C8" s="3" t="s">
        <v>77</v>
      </c>
      <c r="D8" s="3" t="s">
        <v>78</v>
      </c>
      <c r="E8" s="3" t="s">
        <v>79</v>
      </c>
      <c r="F8" s="3" t="s">
        <v>80</v>
      </c>
      <c r="G8" s="3" t="s">
        <v>81</v>
      </c>
    </row>
    <row r="9" customFormat="false" ht="23.85" hidden="false" customHeight="false" outlineLevel="0" collapsed="false">
      <c r="A9" s="3" t="s">
        <v>82</v>
      </c>
      <c r="B9" s="8" t="s">
        <v>83</v>
      </c>
      <c r="C9" s="3" t="s">
        <v>84</v>
      </c>
      <c r="D9" s="3" t="s">
        <v>85</v>
      </c>
      <c r="E9" s="3" t="s">
        <v>86</v>
      </c>
      <c r="F9" s="3" t="s">
        <v>87</v>
      </c>
      <c r="G9" s="3" t="s">
        <v>88</v>
      </c>
    </row>
    <row r="10" customFormat="false" ht="35.05" hidden="false" customHeight="false" outlineLevel="0" collapsed="false">
      <c r="A10" s="3" t="s">
        <v>89</v>
      </c>
      <c r="B10" s="8" t="s">
        <v>83</v>
      </c>
      <c r="C10" s="3" t="s">
        <v>90</v>
      </c>
      <c r="D10" s="3" t="s">
        <v>91</v>
      </c>
      <c r="E10" s="3" t="s">
        <v>92</v>
      </c>
      <c r="F10" s="3" t="s">
        <v>93</v>
      </c>
      <c r="G10" s="3" t="s">
        <v>94</v>
      </c>
    </row>
    <row r="11" customFormat="false" ht="23.85" hidden="false" customHeight="false" outlineLevel="0" collapsed="false">
      <c r="A11" s="3" t="s">
        <v>95</v>
      </c>
      <c r="B11" s="8" t="s">
        <v>83</v>
      </c>
      <c r="C11" s="3" t="s">
        <v>96</v>
      </c>
      <c r="D11" s="3" t="s">
        <v>97</v>
      </c>
      <c r="E11" s="3" t="s">
        <v>98</v>
      </c>
      <c r="F11" s="3" t="s">
        <v>99</v>
      </c>
      <c r="G11" s="3" t="s">
        <v>100</v>
      </c>
    </row>
    <row r="12" customFormat="false" ht="23.85" hidden="false" customHeight="false" outlineLevel="0" collapsed="false">
      <c r="A12" s="3" t="s">
        <v>101</v>
      </c>
      <c r="B12" s="8" t="s">
        <v>83</v>
      </c>
      <c r="C12" s="3" t="s">
        <v>102</v>
      </c>
      <c r="D12" s="3" t="s">
        <v>103</v>
      </c>
      <c r="E12" s="3" t="s">
        <v>104</v>
      </c>
      <c r="F12" s="3" t="s">
        <v>105</v>
      </c>
      <c r="G12" s="3" t="s">
        <v>106</v>
      </c>
    </row>
    <row r="13" customFormat="false" ht="23.85" hidden="false" customHeight="false" outlineLevel="0" collapsed="false">
      <c r="A13" s="3" t="s">
        <v>107</v>
      </c>
      <c r="B13" s="8" t="s">
        <v>83</v>
      </c>
      <c r="C13" s="3" t="s">
        <v>108</v>
      </c>
      <c r="D13" s="3" t="s">
        <v>109</v>
      </c>
      <c r="E13" s="3" t="s">
        <v>110</v>
      </c>
      <c r="F13" s="3" t="s">
        <v>111</v>
      </c>
      <c r="G13" s="3" t="s">
        <v>112</v>
      </c>
    </row>
    <row r="14" customFormat="false" ht="35.05" hidden="false" customHeight="false" outlineLevel="0" collapsed="false">
      <c r="A14" s="3" t="s">
        <v>113</v>
      </c>
      <c r="B14" s="8" t="s">
        <v>83</v>
      </c>
      <c r="C14" s="3" t="s">
        <v>114</v>
      </c>
      <c r="D14" s="3" t="s">
        <v>115</v>
      </c>
      <c r="E14" s="3" t="s">
        <v>116</v>
      </c>
      <c r="F14" s="3" t="s">
        <v>117</v>
      </c>
      <c r="G14" s="3" t="s">
        <v>118</v>
      </c>
    </row>
    <row r="15" customFormat="false" ht="23.85" hidden="false" customHeight="false" outlineLevel="0" collapsed="false">
      <c r="A15" s="3" t="s">
        <v>119</v>
      </c>
      <c r="B15" s="8" t="s">
        <v>83</v>
      </c>
      <c r="C15" s="3" t="s">
        <v>120</v>
      </c>
      <c r="D15" s="3" t="s">
        <v>121</v>
      </c>
      <c r="E15" s="3" t="s">
        <v>122</v>
      </c>
      <c r="F15" s="3" t="s">
        <v>123</v>
      </c>
      <c r="G15" s="3" t="s">
        <v>124</v>
      </c>
    </row>
    <row r="16" customFormat="false" ht="35.05" hidden="false" customHeight="false" outlineLevel="0" collapsed="false">
      <c r="A16" s="3" t="s">
        <v>125</v>
      </c>
      <c r="B16" s="8" t="s">
        <v>83</v>
      </c>
      <c r="C16" s="3" t="s">
        <v>126</v>
      </c>
      <c r="D16" s="3" t="s">
        <v>127</v>
      </c>
      <c r="E16" s="3" t="s">
        <v>128</v>
      </c>
      <c r="F16" s="3" t="s">
        <v>129</v>
      </c>
      <c r="G16" s="3" t="s">
        <v>130</v>
      </c>
    </row>
    <row r="17" customFormat="false" ht="23.85" hidden="false" customHeight="false" outlineLevel="0" collapsed="false">
      <c r="A17" s="3" t="s">
        <v>131</v>
      </c>
      <c r="B17" s="8" t="s">
        <v>83</v>
      </c>
      <c r="C17" s="3" t="s">
        <v>132</v>
      </c>
      <c r="D17" s="3" t="s">
        <v>133</v>
      </c>
      <c r="E17" s="3" t="s">
        <v>134</v>
      </c>
      <c r="F17" s="3" t="s">
        <v>135</v>
      </c>
      <c r="G17" s="3" t="s">
        <v>136</v>
      </c>
    </row>
    <row r="18" customFormat="false" ht="23.85" hidden="false" customHeight="false" outlineLevel="0" collapsed="false">
      <c r="A18" s="3" t="s">
        <v>137</v>
      </c>
      <c r="B18" s="8" t="s">
        <v>83</v>
      </c>
      <c r="C18" s="3" t="s">
        <v>138</v>
      </c>
      <c r="D18" s="3" t="s">
        <v>139</v>
      </c>
      <c r="E18" s="3" t="s">
        <v>140</v>
      </c>
      <c r="F18" s="3" t="s">
        <v>141</v>
      </c>
      <c r="G18" s="3" t="s">
        <v>142</v>
      </c>
    </row>
    <row r="19" customFormat="false" ht="15" hidden="false" customHeight="false" outlineLevel="0" collapsed="false">
      <c r="A19" s="3" t="s">
        <v>143</v>
      </c>
      <c r="B19" s="8" t="s">
        <v>83</v>
      </c>
      <c r="C19" s="3" t="s">
        <v>144</v>
      </c>
      <c r="D19" s="3" t="s">
        <v>145</v>
      </c>
      <c r="E19" s="3" t="s">
        <v>146</v>
      </c>
      <c r="F19" s="3" t="s">
        <v>147</v>
      </c>
      <c r="G19" s="3" t="s">
        <v>148</v>
      </c>
    </row>
    <row r="20" customFormat="false" ht="15" hidden="false" customHeight="false" outlineLevel="0" collapsed="false">
      <c r="A20" s="3" t="s">
        <v>149</v>
      </c>
      <c r="B20" s="8" t="s">
        <v>83</v>
      </c>
      <c r="C20" s="3" t="s">
        <v>150</v>
      </c>
      <c r="D20" s="3" t="s">
        <v>151</v>
      </c>
      <c r="E20" s="3" t="s">
        <v>152</v>
      </c>
      <c r="F20" s="3" t="s">
        <v>153</v>
      </c>
      <c r="G20" s="3" t="s">
        <v>154</v>
      </c>
    </row>
    <row r="21" customFormat="false" ht="15" hidden="false" customHeight="false" outlineLevel="0" collapsed="false">
      <c r="A21" s="3" t="s">
        <v>155</v>
      </c>
      <c r="B21" s="8" t="s">
        <v>83</v>
      </c>
      <c r="C21" s="3" t="s">
        <v>156</v>
      </c>
      <c r="D21" s="3" t="s">
        <v>157</v>
      </c>
      <c r="E21" s="3" t="s">
        <v>158</v>
      </c>
      <c r="F21" s="3" t="s">
        <v>159</v>
      </c>
      <c r="G21" s="3" t="s">
        <v>160</v>
      </c>
    </row>
    <row r="22" customFormat="false" ht="23.85" hidden="false" customHeight="false" outlineLevel="0" collapsed="false">
      <c r="A22" s="3" t="s">
        <v>161</v>
      </c>
      <c r="B22" s="9" t="s">
        <v>162</v>
      </c>
      <c r="C22" s="3" t="s">
        <v>163</v>
      </c>
      <c r="D22" s="3" t="s">
        <v>164</v>
      </c>
      <c r="E22" s="3" t="s">
        <v>165</v>
      </c>
      <c r="F22" s="3" t="s">
        <v>166</v>
      </c>
      <c r="G22" s="3" t="s">
        <v>167</v>
      </c>
    </row>
    <row r="23" customFormat="false" ht="23.85" hidden="false" customHeight="false" outlineLevel="0" collapsed="false">
      <c r="A23" s="3" t="s">
        <v>168</v>
      </c>
      <c r="B23" s="9" t="s">
        <v>162</v>
      </c>
      <c r="C23" s="3" t="s">
        <v>169</v>
      </c>
      <c r="D23" s="3" t="s">
        <v>170</v>
      </c>
      <c r="E23" s="3" t="s">
        <v>171</v>
      </c>
      <c r="F23" s="3" t="s">
        <v>172</v>
      </c>
      <c r="G23" s="3" t="s">
        <v>173</v>
      </c>
    </row>
    <row r="24" customFormat="false" ht="23.85" hidden="false" customHeight="false" outlineLevel="0" collapsed="false">
      <c r="A24" s="3" t="s">
        <v>174</v>
      </c>
      <c r="B24" s="9" t="s">
        <v>162</v>
      </c>
      <c r="C24" s="3" t="s">
        <v>169</v>
      </c>
      <c r="D24" s="3" t="s">
        <v>175</v>
      </c>
      <c r="E24" s="3" t="s">
        <v>176</v>
      </c>
      <c r="F24" s="3" t="s">
        <v>177</v>
      </c>
      <c r="G24" s="3" t="s">
        <v>178</v>
      </c>
    </row>
    <row r="25" customFormat="false" ht="23.85" hidden="false" customHeight="false" outlineLevel="0" collapsed="false">
      <c r="A25" s="3" t="s">
        <v>179</v>
      </c>
      <c r="B25" s="9" t="s">
        <v>162</v>
      </c>
      <c r="C25" s="3" t="s">
        <v>180</v>
      </c>
      <c r="D25" s="3" t="s">
        <v>181</v>
      </c>
      <c r="E25" s="3" t="s">
        <v>182</v>
      </c>
      <c r="F25" s="3" t="s">
        <v>183</v>
      </c>
      <c r="G25" s="3" t="s">
        <v>184</v>
      </c>
    </row>
    <row r="26" customFormat="false" ht="15" hidden="false" customHeight="false" outlineLevel="0" collapsed="false">
      <c r="A26" s="3" t="s">
        <v>185</v>
      </c>
      <c r="B26" s="9" t="s">
        <v>162</v>
      </c>
      <c r="C26" s="3" t="s">
        <v>186</v>
      </c>
      <c r="D26" s="3" t="s">
        <v>187</v>
      </c>
      <c r="E26" s="3" t="s">
        <v>188</v>
      </c>
      <c r="F26" s="3" t="s">
        <v>189</v>
      </c>
      <c r="G26" s="3" t="s">
        <v>190</v>
      </c>
    </row>
    <row r="27" customFormat="false" ht="23.85" hidden="false" customHeight="false" outlineLevel="0" collapsed="false">
      <c r="A27" s="3" t="s">
        <v>191</v>
      </c>
      <c r="B27" s="9" t="s">
        <v>162</v>
      </c>
      <c r="C27" s="3" t="s">
        <v>58</v>
      </c>
      <c r="D27" s="3" t="s">
        <v>192</v>
      </c>
      <c r="E27" s="3" t="s">
        <v>193</v>
      </c>
      <c r="F27" s="3" t="s">
        <v>194</v>
      </c>
      <c r="G27" s="3" t="s">
        <v>195</v>
      </c>
    </row>
    <row r="28" customFormat="false" ht="15" hidden="false" customHeight="false" outlineLevel="0" collapsed="false">
      <c r="A28" s="3" t="s">
        <v>196</v>
      </c>
      <c r="B28" s="9" t="s">
        <v>162</v>
      </c>
      <c r="C28" s="3" t="s">
        <v>197</v>
      </c>
      <c r="D28" s="3" t="s">
        <v>198</v>
      </c>
      <c r="E28" s="3" t="s">
        <v>199</v>
      </c>
      <c r="F28" s="3" t="s">
        <v>200</v>
      </c>
      <c r="G28" s="3" t="s">
        <v>201</v>
      </c>
    </row>
    <row r="29" customFormat="false" ht="23.85" hidden="false" customHeight="false" outlineLevel="0" collapsed="false">
      <c r="A29" s="3" t="s">
        <v>202</v>
      </c>
      <c r="B29" s="9" t="s">
        <v>162</v>
      </c>
      <c r="C29" s="3" t="s">
        <v>203</v>
      </c>
      <c r="D29" s="3" t="s">
        <v>204</v>
      </c>
      <c r="E29" s="3" t="s">
        <v>205</v>
      </c>
      <c r="F29" s="3" t="s">
        <v>206</v>
      </c>
      <c r="G29" s="3" t="s">
        <v>207</v>
      </c>
    </row>
    <row r="30" customFormat="false" ht="35.05" hidden="false" customHeight="false" outlineLevel="0" collapsed="false">
      <c r="A30" s="3" t="s">
        <v>208</v>
      </c>
      <c r="B30" s="9" t="s">
        <v>162</v>
      </c>
      <c r="C30" s="3" t="s">
        <v>203</v>
      </c>
      <c r="D30" s="3" t="s">
        <v>209</v>
      </c>
      <c r="E30" s="3" t="s">
        <v>210</v>
      </c>
      <c r="F30" s="3" t="s">
        <v>211</v>
      </c>
      <c r="G30" s="3" t="s">
        <v>212</v>
      </c>
    </row>
    <row r="31" customFormat="false" ht="23.85" hidden="false" customHeight="false" outlineLevel="0" collapsed="false">
      <c r="A31" s="3" t="s">
        <v>213</v>
      </c>
      <c r="B31" s="9" t="s">
        <v>162</v>
      </c>
      <c r="C31" s="3" t="s">
        <v>214</v>
      </c>
      <c r="D31" s="3" t="s">
        <v>215</v>
      </c>
      <c r="E31" s="3" t="s">
        <v>216</v>
      </c>
      <c r="F31" s="3" t="s">
        <v>217</v>
      </c>
      <c r="G31" s="3" t="s">
        <v>218</v>
      </c>
    </row>
    <row r="32" customFormat="false" ht="23.85" hidden="false" customHeight="false" outlineLevel="0" collapsed="false">
      <c r="A32" s="3" t="s">
        <v>219</v>
      </c>
      <c r="B32" s="9" t="s">
        <v>162</v>
      </c>
      <c r="C32" s="3" t="s">
        <v>220</v>
      </c>
      <c r="D32" s="3" t="s">
        <v>221</v>
      </c>
      <c r="E32" s="3" t="s">
        <v>222</v>
      </c>
      <c r="F32" s="3" t="s">
        <v>223</v>
      </c>
      <c r="G32" s="3" t="s">
        <v>224</v>
      </c>
    </row>
    <row r="33" customFormat="false" ht="23.85" hidden="false" customHeight="false" outlineLevel="0" collapsed="false">
      <c r="A33" s="3" t="s">
        <v>225</v>
      </c>
      <c r="B33" s="9" t="s">
        <v>162</v>
      </c>
      <c r="C33" s="3" t="s">
        <v>226</v>
      </c>
      <c r="D33" s="3" t="s">
        <v>227</v>
      </c>
      <c r="E33" s="3" t="s">
        <v>228</v>
      </c>
      <c r="F33" s="3" t="s">
        <v>229</v>
      </c>
      <c r="G33" s="3" t="s">
        <v>230</v>
      </c>
    </row>
    <row r="34" customFormat="false" ht="23.85" hidden="false" customHeight="false" outlineLevel="0" collapsed="false">
      <c r="A34" s="3" t="s">
        <v>231</v>
      </c>
      <c r="B34" s="9" t="s">
        <v>162</v>
      </c>
      <c r="C34" s="3" t="s">
        <v>232</v>
      </c>
      <c r="D34" s="3" t="s">
        <v>233</v>
      </c>
      <c r="E34" s="3" t="s">
        <v>234</v>
      </c>
      <c r="F34" s="3" t="s">
        <v>235</v>
      </c>
      <c r="G34" s="3" t="s">
        <v>236</v>
      </c>
    </row>
    <row r="35" customFormat="false" ht="15" hidden="false" customHeight="false" outlineLevel="0" collapsed="false">
      <c r="A35" s="3" t="s">
        <v>237</v>
      </c>
      <c r="B35" s="9" t="s">
        <v>162</v>
      </c>
      <c r="C35" s="3" t="s">
        <v>90</v>
      </c>
      <c r="D35" s="3" t="s">
        <v>238</v>
      </c>
      <c r="E35" s="3" t="s">
        <v>239</v>
      </c>
      <c r="F35" s="3" t="s">
        <v>240</v>
      </c>
      <c r="G35" s="3" t="s">
        <v>241</v>
      </c>
    </row>
    <row r="36" customFormat="false" ht="23.85" hidden="false" customHeight="false" outlineLevel="0" collapsed="false">
      <c r="A36" s="3" t="s">
        <v>242</v>
      </c>
      <c r="B36" s="9" t="s">
        <v>162</v>
      </c>
      <c r="C36" s="3" t="s">
        <v>243</v>
      </c>
      <c r="D36" s="3" t="s">
        <v>244</v>
      </c>
      <c r="E36" s="3" t="s">
        <v>245</v>
      </c>
      <c r="F36" s="3" t="s">
        <v>246</v>
      </c>
      <c r="G36" s="3" t="s">
        <v>247</v>
      </c>
    </row>
    <row r="37" customFormat="false" ht="23.85" hidden="false" customHeight="false" outlineLevel="0" collapsed="false">
      <c r="A37" s="3" t="s">
        <v>248</v>
      </c>
      <c r="B37" s="9" t="s">
        <v>162</v>
      </c>
      <c r="C37" s="3" t="s">
        <v>186</v>
      </c>
      <c r="D37" s="3" t="s">
        <v>249</v>
      </c>
      <c r="E37" s="3" t="s">
        <v>250</v>
      </c>
      <c r="F37" s="3" t="s">
        <v>251</v>
      </c>
      <c r="G37" s="3" t="s">
        <v>252</v>
      </c>
    </row>
    <row r="38" customFormat="false" ht="23.85" hidden="false" customHeight="false" outlineLevel="0" collapsed="false">
      <c r="A38" s="3" t="s">
        <v>253</v>
      </c>
      <c r="B38" s="9" t="s">
        <v>162</v>
      </c>
      <c r="C38" s="3" t="s">
        <v>254</v>
      </c>
      <c r="D38" s="3" t="s">
        <v>255</v>
      </c>
      <c r="E38" s="3" t="s">
        <v>256</v>
      </c>
      <c r="F38" s="3" t="s">
        <v>257</v>
      </c>
      <c r="G38" s="3" t="s">
        <v>258</v>
      </c>
    </row>
    <row r="39" customFormat="false" ht="23.85" hidden="false" customHeight="false" outlineLevel="0" collapsed="false">
      <c r="A39" s="3" t="s">
        <v>259</v>
      </c>
      <c r="B39" s="9" t="s">
        <v>162</v>
      </c>
      <c r="C39" s="3" t="s">
        <v>260</v>
      </c>
      <c r="D39" s="3" t="s">
        <v>261</v>
      </c>
      <c r="E39" s="3" t="s">
        <v>262</v>
      </c>
      <c r="F39" s="3" t="s">
        <v>263</v>
      </c>
      <c r="G39" s="3" t="s">
        <v>264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15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8"/>
    <col collapsed="false" customWidth="true" hidden="false" outlineLevel="0" max="2" min="2" style="1" width="30"/>
    <col collapsed="false" customWidth="true" hidden="false" outlineLevel="0" max="3" min="3" style="1" width="16"/>
    <col collapsed="false" customWidth="true" hidden="false" outlineLevel="0" max="4" min="4" style="1" width="28"/>
    <col collapsed="false" customWidth="true" hidden="false" outlineLevel="0" max="5" min="5" style="1" width="24"/>
    <col collapsed="false" customWidth="true" hidden="false" outlineLevel="0" max="7" min="6" style="1" width="22"/>
    <col collapsed="false" customWidth="true" hidden="false" outlineLevel="0" max="8" min="8" style="1" width="12"/>
    <col collapsed="false" customWidth="true" hidden="false" outlineLevel="0" max="9" min="9" style="1" width="14"/>
    <col collapsed="false" customWidth="true" hidden="false" outlineLevel="0" max="10" min="10" style="1" width="11"/>
    <col collapsed="false" customWidth="true" hidden="false" outlineLevel="0" max="11" min="11" style="1" width="10"/>
    <col collapsed="false" customWidth="true" hidden="false" outlineLevel="0" max="12" min="12" style="1" width="11"/>
    <col collapsed="false" customWidth="true" hidden="false" outlineLevel="0" max="13" min="13" style="1" width="10"/>
    <col collapsed="false" customWidth="true" hidden="false" outlineLevel="0" max="14" min="14" style="1" width="50"/>
  </cols>
  <sheetData>
    <row r="1" customFormat="false" ht="35.05" hidden="false" customHeight="false" outlineLevel="0" collapsed="false">
      <c r="A1" s="5" t="s">
        <v>35</v>
      </c>
      <c r="B1" s="5" t="s">
        <v>265</v>
      </c>
      <c r="C1" s="5" t="s">
        <v>266</v>
      </c>
      <c r="D1" s="5" t="s">
        <v>267</v>
      </c>
      <c r="E1" s="5" t="s">
        <v>268</v>
      </c>
      <c r="F1" s="5" t="s">
        <v>269</v>
      </c>
      <c r="G1" s="5" t="s">
        <v>270</v>
      </c>
      <c r="H1" s="5" t="s">
        <v>271</v>
      </c>
      <c r="I1" s="5" t="s">
        <v>272</v>
      </c>
      <c r="J1" s="5" t="s">
        <v>273</v>
      </c>
      <c r="K1" s="5" t="s">
        <v>274</v>
      </c>
      <c r="L1" s="5" t="s">
        <v>275</v>
      </c>
      <c r="M1" s="5" t="s">
        <v>276</v>
      </c>
      <c r="N1" s="5" t="s">
        <v>277</v>
      </c>
    </row>
    <row r="2" customFormat="false" ht="15" hidden="false" customHeight="false" outlineLevel="0" collapsed="false">
      <c r="A2" s="3" t="s">
        <v>278</v>
      </c>
      <c r="B2" s="3" t="s">
        <v>279</v>
      </c>
      <c r="C2" s="3" t="s">
        <v>280</v>
      </c>
      <c r="D2" s="3" t="s">
        <v>281</v>
      </c>
      <c r="E2" s="3" t="s">
        <v>282</v>
      </c>
      <c r="F2" s="3" t="s">
        <v>283</v>
      </c>
      <c r="G2" s="3" t="s">
        <v>284</v>
      </c>
      <c r="H2" s="3" t="s">
        <v>285</v>
      </c>
      <c r="I2" s="3" t="s">
        <v>286</v>
      </c>
      <c r="J2" s="3" t="s">
        <v>286</v>
      </c>
      <c r="K2" s="3" t="s">
        <v>287</v>
      </c>
      <c r="L2" s="10" t="n">
        <f aca="false">COUNTIF(Documents!$B:$B,A2)</f>
        <v>5</v>
      </c>
      <c r="M2" s="10" t="n">
        <f aca="false">COUNTIFS(Documents!$B:$B,A2,Documents!$J:$J,"&gt;0")</f>
        <v>3</v>
      </c>
      <c r="N2" s="3"/>
    </row>
    <row r="3" customFormat="false" ht="23.85" hidden="false" customHeight="false" outlineLevel="0" collapsed="false">
      <c r="A3" s="3" t="s">
        <v>288</v>
      </c>
      <c r="B3" s="3" t="s">
        <v>279</v>
      </c>
      <c r="C3" s="3" t="s">
        <v>280</v>
      </c>
      <c r="D3" s="3" t="s">
        <v>289</v>
      </c>
      <c r="E3" s="3" t="s">
        <v>290</v>
      </c>
      <c r="F3" s="3" t="s">
        <v>283</v>
      </c>
      <c r="G3" s="3" t="s">
        <v>284</v>
      </c>
      <c r="H3" s="3" t="s">
        <v>285</v>
      </c>
      <c r="I3" s="3" t="s">
        <v>286</v>
      </c>
      <c r="J3" s="3" t="s">
        <v>286</v>
      </c>
      <c r="K3" s="3" t="s">
        <v>291</v>
      </c>
      <c r="L3" s="10" t="n">
        <f aca="false">COUNTIF(Documents!$B:$B,A3)</f>
        <v>4</v>
      </c>
      <c r="M3" s="10" t="n">
        <f aca="false">COUNTIFS(Documents!$B:$B,A3,Documents!$J:$J,"&gt;0")</f>
        <v>3</v>
      </c>
      <c r="N3" s="3"/>
    </row>
    <row r="4" customFormat="false" ht="15" hidden="false" customHeight="false" outlineLevel="0" collapsed="false">
      <c r="A4" s="3" t="s">
        <v>292</v>
      </c>
      <c r="B4" s="3" t="s">
        <v>279</v>
      </c>
      <c r="C4" s="3" t="s">
        <v>293</v>
      </c>
      <c r="D4" s="3" t="s">
        <v>289</v>
      </c>
      <c r="E4" s="3" t="s">
        <v>294</v>
      </c>
      <c r="F4" s="3" t="s">
        <v>283</v>
      </c>
      <c r="G4" s="3" t="s">
        <v>284</v>
      </c>
      <c r="H4" s="3"/>
      <c r="I4" s="3" t="s">
        <v>286</v>
      </c>
      <c r="J4" s="3" t="s">
        <v>286</v>
      </c>
      <c r="K4" s="3" t="s">
        <v>291</v>
      </c>
      <c r="L4" s="10" t="n">
        <f aca="false">COUNTIF(Documents!$B:$B,A4)</f>
        <v>2</v>
      </c>
      <c r="M4" s="10" t="n">
        <f aca="false">COUNTIFS(Documents!$B:$B,A4,Documents!$J:$J,"&gt;0")</f>
        <v>2</v>
      </c>
      <c r="N4" s="3"/>
    </row>
    <row r="5" customFormat="false" ht="23.85" hidden="false" customHeight="false" outlineLevel="0" collapsed="false">
      <c r="A5" s="3" t="s">
        <v>65</v>
      </c>
      <c r="B5" s="3" t="s">
        <v>279</v>
      </c>
      <c r="C5" s="3" t="s">
        <v>280</v>
      </c>
      <c r="D5" s="3" t="s">
        <v>295</v>
      </c>
      <c r="E5" s="3" t="s">
        <v>296</v>
      </c>
      <c r="F5" s="3" t="s">
        <v>283</v>
      </c>
      <c r="G5" s="3" t="s">
        <v>284</v>
      </c>
      <c r="H5" s="3"/>
      <c r="I5" s="3" t="s">
        <v>286</v>
      </c>
      <c r="J5" s="3" t="s">
        <v>286</v>
      </c>
      <c r="K5" s="3" t="s">
        <v>297</v>
      </c>
      <c r="L5" s="10" t="n">
        <f aca="false">COUNTIF(Documents!$B:$B,A5)</f>
        <v>3</v>
      </c>
      <c r="M5" s="10" t="n">
        <f aca="false">COUNTIFS(Documents!$B:$B,A5,Documents!$J:$J,"&gt;0")</f>
        <v>3</v>
      </c>
      <c r="N5" s="3"/>
    </row>
    <row r="6" customFormat="false" ht="15" hidden="false" customHeight="false" outlineLevel="0" collapsed="false">
      <c r="A6" s="3" t="s">
        <v>298</v>
      </c>
      <c r="B6" s="3" t="s">
        <v>279</v>
      </c>
      <c r="C6" s="3" t="s">
        <v>293</v>
      </c>
      <c r="D6" s="3" t="s">
        <v>299</v>
      </c>
      <c r="E6" s="3" t="s">
        <v>294</v>
      </c>
      <c r="F6" s="3" t="s">
        <v>283</v>
      </c>
      <c r="G6" s="3" t="s">
        <v>300</v>
      </c>
      <c r="H6" s="3"/>
      <c r="I6" s="3" t="s">
        <v>286</v>
      </c>
      <c r="J6" s="3" t="s">
        <v>301</v>
      </c>
      <c r="K6" s="3" t="s">
        <v>297</v>
      </c>
      <c r="L6" s="10" t="n">
        <f aca="false">COUNTIF(Documents!$B:$B,A6)</f>
        <v>1</v>
      </c>
      <c r="M6" s="10" t="n">
        <f aca="false">COUNTIFS(Documents!$B:$B,A6,Documents!$J:$J,"&gt;0")</f>
        <v>1</v>
      </c>
      <c r="N6" s="3"/>
    </row>
    <row r="7" customFormat="false" ht="15" hidden="false" customHeight="false" outlineLevel="0" collapsed="false">
      <c r="A7" s="3" t="s">
        <v>302</v>
      </c>
      <c r="B7" s="3" t="s">
        <v>279</v>
      </c>
      <c r="C7" s="3" t="s">
        <v>293</v>
      </c>
      <c r="D7" s="3" t="s">
        <v>299</v>
      </c>
      <c r="E7" s="3" t="s">
        <v>294</v>
      </c>
      <c r="F7" s="3" t="s">
        <v>283</v>
      </c>
      <c r="G7" s="3" t="s">
        <v>300</v>
      </c>
      <c r="H7" s="3"/>
      <c r="I7" s="3" t="s">
        <v>286</v>
      </c>
      <c r="J7" s="3" t="s">
        <v>301</v>
      </c>
      <c r="K7" s="3" t="s">
        <v>297</v>
      </c>
      <c r="L7" s="10" t="n">
        <f aca="false">COUNTIF(Documents!$B:$B,A7)</f>
        <v>1</v>
      </c>
      <c r="M7" s="10" t="n">
        <f aca="false">COUNTIFS(Documents!$B:$B,A7,Documents!$J:$J,"&gt;0")</f>
        <v>1</v>
      </c>
      <c r="N7" s="3"/>
    </row>
    <row r="8" customFormat="false" ht="15" hidden="false" customHeight="false" outlineLevel="0" collapsed="false">
      <c r="A8" s="3" t="s">
        <v>303</v>
      </c>
      <c r="B8" s="3" t="s">
        <v>279</v>
      </c>
      <c r="C8" s="3" t="s">
        <v>304</v>
      </c>
      <c r="D8" s="3" t="s">
        <v>281</v>
      </c>
      <c r="E8" s="3" t="s">
        <v>305</v>
      </c>
      <c r="F8" s="3" t="s">
        <v>283</v>
      </c>
      <c r="G8" s="3" t="s">
        <v>284</v>
      </c>
      <c r="H8" s="3"/>
      <c r="I8" s="3" t="s">
        <v>286</v>
      </c>
      <c r="J8" s="3" t="s">
        <v>286</v>
      </c>
      <c r="K8" s="3" t="s">
        <v>297</v>
      </c>
      <c r="L8" s="10" t="n">
        <f aca="false">COUNTIF(Documents!$B:$B,A8)</f>
        <v>2</v>
      </c>
      <c r="M8" s="10" t="n">
        <f aca="false">COUNTIFS(Documents!$B:$B,A8,Documents!$J:$J,"&gt;0")</f>
        <v>2</v>
      </c>
      <c r="N8" s="3"/>
    </row>
    <row r="9" customFormat="false" ht="23.85" hidden="false" customHeight="false" outlineLevel="0" collapsed="false">
      <c r="A9" s="3" t="s">
        <v>306</v>
      </c>
      <c r="B9" s="3" t="s">
        <v>307</v>
      </c>
      <c r="C9" s="3" t="s">
        <v>308</v>
      </c>
      <c r="D9" s="3" t="s">
        <v>281</v>
      </c>
      <c r="E9" s="3" t="s">
        <v>309</v>
      </c>
      <c r="F9" s="3" t="s">
        <v>283</v>
      </c>
      <c r="G9" s="3" t="s">
        <v>310</v>
      </c>
      <c r="H9" s="3" t="s">
        <v>311</v>
      </c>
      <c r="I9" s="3" t="s">
        <v>286</v>
      </c>
      <c r="J9" s="3" t="s">
        <v>286</v>
      </c>
      <c r="K9" s="3" t="s">
        <v>291</v>
      </c>
      <c r="L9" s="10" t="n">
        <f aca="false">COUNTIF(Documents!$B:$B,A9)</f>
        <v>4</v>
      </c>
      <c r="M9" s="10" t="n">
        <f aca="false">COUNTIFS(Documents!$B:$B,A9,Documents!$J:$J,"&gt;0")</f>
        <v>3</v>
      </c>
      <c r="N9" s="3"/>
    </row>
    <row r="10" customFormat="false" ht="23.85" hidden="false" customHeight="false" outlineLevel="0" collapsed="false">
      <c r="A10" s="3" t="s">
        <v>312</v>
      </c>
      <c r="B10" s="3" t="s">
        <v>307</v>
      </c>
      <c r="C10" s="3" t="s">
        <v>313</v>
      </c>
      <c r="D10" s="3" t="s">
        <v>314</v>
      </c>
      <c r="E10" s="3" t="s">
        <v>315</v>
      </c>
      <c r="F10" s="3" t="s">
        <v>283</v>
      </c>
      <c r="G10" s="3" t="s">
        <v>284</v>
      </c>
      <c r="H10" s="3"/>
      <c r="I10" s="3" t="s">
        <v>286</v>
      </c>
      <c r="J10" s="3" t="s">
        <v>286</v>
      </c>
      <c r="K10" s="3" t="s">
        <v>291</v>
      </c>
      <c r="L10" s="10" t="n">
        <f aca="false">COUNTIF(Documents!$B:$B,A10)</f>
        <v>4</v>
      </c>
      <c r="M10" s="10" t="n">
        <f aca="false">COUNTIFS(Documents!$B:$B,A10,Documents!$J:$J,"&gt;0")</f>
        <v>3</v>
      </c>
      <c r="N10" s="3"/>
    </row>
    <row r="11" customFormat="false" ht="23.85" hidden="false" customHeight="false" outlineLevel="0" collapsed="false">
      <c r="A11" s="3" t="s">
        <v>316</v>
      </c>
      <c r="B11" s="3" t="s">
        <v>307</v>
      </c>
      <c r="C11" s="3" t="s">
        <v>317</v>
      </c>
      <c r="D11" s="3" t="s">
        <v>318</v>
      </c>
      <c r="E11" s="3" t="s">
        <v>319</v>
      </c>
      <c r="F11" s="3" t="s">
        <v>283</v>
      </c>
      <c r="G11" s="3" t="s">
        <v>284</v>
      </c>
      <c r="H11" s="3" t="s">
        <v>320</v>
      </c>
      <c r="I11" s="3" t="s">
        <v>286</v>
      </c>
      <c r="J11" s="3" t="s">
        <v>286</v>
      </c>
      <c r="K11" s="3" t="s">
        <v>291</v>
      </c>
      <c r="L11" s="10" t="n">
        <f aca="false">COUNTIF(Documents!$B:$B,A11)</f>
        <v>5</v>
      </c>
      <c r="M11" s="10" t="n">
        <f aca="false">COUNTIFS(Documents!$B:$B,A11,Documents!$J:$J,"&gt;0")</f>
        <v>3</v>
      </c>
      <c r="N11" s="3"/>
    </row>
    <row r="12" customFormat="false" ht="23.85" hidden="false" customHeight="false" outlineLevel="0" collapsed="false">
      <c r="A12" s="3" t="s">
        <v>321</v>
      </c>
      <c r="B12" s="3" t="s">
        <v>307</v>
      </c>
      <c r="C12" s="3" t="s">
        <v>313</v>
      </c>
      <c r="D12" s="3" t="s">
        <v>299</v>
      </c>
      <c r="E12" s="3" t="s">
        <v>322</v>
      </c>
      <c r="F12" s="3" t="s">
        <v>283</v>
      </c>
      <c r="G12" s="3" t="s">
        <v>300</v>
      </c>
      <c r="H12" s="3"/>
      <c r="I12" s="3" t="s">
        <v>286</v>
      </c>
      <c r="J12" s="3" t="s">
        <v>301</v>
      </c>
      <c r="K12" s="3" t="s">
        <v>297</v>
      </c>
      <c r="L12" s="10" t="n">
        <f aca="false">COUNTIF(Documents!$B:$B,A12)</f>
        <v>2</v>
      </c>
      <c r="M12" s="10" t="n">
        <f aca="false">COUNTIFS(Documents!$B:$B,A12,Documents!$J:$J,"&gt;0")</f>
        <v>2</v>
      </c>
      <c r="N12" s="3"/>
    </row>
    <row r="13" customFormat="false" ht="23.85" hidden="false" customHeight="false" outlineLevel="0" collapsed="false">
      <c r="A13" s="3" t="s">
        <v>323</v>
      </c>
      <c r="B13" s="3" t="s">
        <v>307</v>
      </c>
      <c r="C13" s="3" t="s">
        <v>324</v>
      </c>
      <c r="D13" s="3" t="s">
        <v>325</v>
      </c>
      <c r="E13" s="3" t="s">
        <v>326</v>
      </c>
      <c r="F13" s="3" t="s">
        <v>327</v>
      </c>
      <c r="G13" s="3" t="s">
        <v>284</v>
      </c>
      <c r="H13" s="3" t="s">
        <v>311</v>
      </c>
      <c r="I13" s="3" t="s">
        <v>286</v>
      </c>
      <c r="J13" s="3" t="s">
        <v>286</v>
      </c>
      <c r="K13" s="3" t="s">
        <v>291</v>
      </c>
      <c r="L13" s="10" t="n">
        <f aca="false">COUNTIF(Documents!$B:$B,A13)</f>
        <v>3</v>
      </c>
      <c r="M13" s="10" t="n">
        <f aca="false">COUNTIFS(Documents!$B:$B,A13,Documents!$J:$J,"&gt;0")</f>
        <v>3</v>
      </c>
      <c r="N13" s="3"/>
    </row>
    <row r="14" customFormat="false" ht="23.85" hidden="false" customHeight="false" outlineLevel="0" collapsed="false">
      <c r="A14" s="3" t="s">
        <v>328</v>
      </c>
      <c r="B14" s="3" t="s">
        <v>307</v>
      </c>
      <c r="C14" s="3" t="s">
        <v>313</v>
      </c>
      <c r="D14" s="3" t="s">
        <v>329</v>
      </c>
      <c r="E14" s="3" t="s">
        <v>326</v>
      </c>
      <c r="F14" s="3" t="s">
        <v>327</v>
      </c>
      <c r="G14" s="3" t="s">
        <v>284</v>
      </c>
      <c r="H14" s="3"/>
      <c r="I14" s="3" t="s">
        <v>286</v>
      </c>
      <c r="J14" s="3" t="s">
        <v>286</v>
      </c>
      <c r="K14" s="3" t="s">
        <v>291</v>
      </c>
      <c r="L14" s="10" t="n">
        <f aca="false">COUNTIF(Documents!$B:$B,A14)</f>
        <v>2</v>
      </c>
      <c r="M14" s="10" t="n">
        <f aca="false">COUNTIFS(Documents!$B:$B,A14,Documents!$J:$J,"&gt;0")</f>
        <v>2</v>
      </c>
      <c r="N14" s="3"/>
    </row>
    <row r="15" customFormat="false" ht="23.85" hidden="false" customHeight="false" outlineLevel="0" collapsed="false">
      <c r="A15" s="3" t="s">
        <v>330</v>
      </c>
      <c r="B15" s="3" t="s">
        <v>307</v>
      </c>
      <c r="C15" s="3" t="s">
        <v>313</v>
      </c>
      <c r="D15" s="3" t="s">
        <v>299</v>
      </c>
      <c r="E15" s="3" t="s">
        <v>326</v>
      </c>
      <c r="F15" s="3" t="s">
        <v>327</v>
      </c>
      <c r="G15" s="3" t="s">
        <v>284</v>
      </c>
      <c r="H15" s="3"/>
      <c r="I15" s="3" t="s">
        <v>286</v>
      </c>
      <c r="J15" s="3" t="s">
        <v>286</v>
      </c>
      <c r="K15" s="3" t="s">
        <v>291</v>
      </c>
      <c r="L15" s="10" t="n">
        <f aca="false">COUNTIF(Documents!$B:$B,A15)</f>
        <v>1</v>
      </c>
      <c r="M15" s="10" t="n">
        <f aca="false">COUNTIFS(Documents!$B:$B,A15,Documents!$J:$J,"&gt;0")</f>
        <v>1</v>
      </c>
      <c r="N15" s="3"/>
    </row>
    <row r="16" customFormat="false" ht="23.85" hidden="false" customHeight="false" outlineLevel="0" collapsed="false">
      <c r="A16" s="3" t="s">
        <v>331</v>
      </c>
      <c r="B16" s="3" t="s">
        <v>332</v>
      </c>
      <c r="C16" s="3" t="s">
        <v>304</v>
      </c>
      <c r="D16" s="3" t="s">
        <v>299</v>
      </c>
      <c r="E16" s="3" t="s">
        <v>326</v>
      </c>
      <c r="F16" s="3" t="s">
        <v>327</v>
      </c>
      <c r="G16" s="3" t="s">
        <v>284</v>
      </c>
      <c r="H16" s="3"/>
      <c r="I16" s="3" t="s">
        <v>286</v>
      </c>
      <c r="J16" s="3" t="s">
        <v>286</v>
      </c>
      <c r="K16" s="3" t="s">
        <v>297</v>
      </c>
      <c r="L16" s="10" t="n">
        <f aca="false">COUNTIF(Documents!$B:$B,A16)</f>
        <v>2</v>
      </c>
      <c r="M16" s="10" t="n">
        <f aca="false">COUNTIFS(Documents!$B:$B,A16,Documents!$J:$J,"&gt;0")</f>
        <v>2</v>
      </c>
      <c r="N16" s="3"/>
    </row>
    <row r="17" customFormat="false" ht="23.85" hidden="false" customHeight="false" outlineLevel="0" collapsed="false">
      <c r="A17" s="3" t="s">
        <v>333</v>
      </c>
      <c r="B17" s="3" t="s">
        <v>332</v>
      </c>
      <c r="C17" s="3" t="s">
        <v>304</v>
      </c>
      <c r="D17" s="3" t="s">
        <v>314</v>
      </c>
      <c r="E17" s="3" t="s">
        <v>334</v>
      </c>
      <c r="F17" s="3" t="s">
        <v>283</v>
      </c>
      <c r="G17" s="3" t="s">
        <v>284</v>
      </c>
      <c r="H17" s="3"/>
      <c r="I17" s="3" t="s">
        <v>286</v>
      </c>
      <c r="J17" s="3" t="s">
        <v>286</v>
      </c>
      <c r="K17" s="3" t="s">
        <v>291</v>
      </c>
      <c r="L17" s="10" t="n">
        <f aca="false">COUNTIF(Documents!$B:$B,A17)</f>
        <v>5</v>
      </c>
      <c r="M17" s="10" t="n">
        <f aca="false">COUNTIFS(Documents!$B:$B,A17,Documents!$J:$J,"&gt;0")</f>
        <v>3</v>
      </c>
      <c r="N17" s="3"/>
    </row>
    <row r="18" customFormat="false" ht="23.85" hidden="false" customHeight="false" outlineLevel="0" collapsed="false">
      <c r="A18" s="3" t="s">
        <v>335</v>
      </c>
      <c r="B18" s="3" t="s">
        <v>332</v>
      </c>
      <c r="C18" s="3" t="s">
        <v>304</v>
      </c>
      <c r="D18" s="3" t="s">
        <v>299</v>
      </c>
      <c r="E18" s="3" t="s">
        <v>334</v>
      </c>
      <c r="F18" s="3" t="s">
        <v>283</v>
      </c>
      <c r="G18" s="3" t="s">
        <v>336</v>
      </c>
      <c r="H18" s="3"/>
      <c r="I18" s="3" t="s">
        <v>286</v>
      </c>
      <c r="J18" s="3" t="s">
        <v>301</v>
      </c>
      <c r="K18" s="3" t="s">
        <v>297</v>
      </c>
      <c r="L18" s="10" t="n">
        <f aca="false">COUNTIF(Documents!$B:$B,A18)</f>
        <v>1</v>
      </c>
      <c r="M18" s="10" t="n">
        <f aca="false">COUNTIFS(Documents!$B:$B,A18,Documents!$J:$J,"&gt;0")</f>
        <v>1</v>
      </c>
      <c r="N18" s="3"/>
    </row>
    <row r="19" customFormat="false" ht="23.85" hidden="false" customHeight="false" outlineLevel="0" collapsed="false">
      <c r="A19" s="3" t="s">
        <v>337</v>
      </c>
      <c r="B19" s="3" t="s">
        <v>332</v>
      </c>
      <c r="C19" s="3" t="s">
        <v>304</v>
      </c>
      <c r="D19" s="3" t="s">
        <v>338</v>
      </c>
      <c r="E19" s="3" t="s">
        <v>334</v>
      </c>
      <c r="F19" s="3" t="s">
        <v>339</v>
      </c>
      <c r="G19" s="3" t="s">
        <v>284</v>
      </c>
      <c r="H19" s="3"/>
      <c r="I19" s="3" t="s">
        <v>286</v>
      </c>
      <c r="J19" s="3" t="s">
        <v>286</v>
      </c>
      <c r="K19" s="3" t="s">
        <v>291</v>
      </c>
      <c r="L19" s="10" t="n">
        <f aca="false">COUNTIF(Documents!$B:$B,A19)</f>
        <v>1</v>
      </c>
      <c r="M19" s="10" t="n">
        <f aca="false">COUNTIFS(Documents!$B:$B,A19,Documents!$J:$J,"&gt;0")</f>
        <v>1</v>
      </c>
      <c r="N19" s="3"/>
    </row>
    <row r="20" customFormat="false" ht="23.85" hidden="false" customHeight="false" outlineLevel="0" collapsed="false">
      <c r="A20" s="3" t="s">
        <v>340</v>
      </c>
      <c r="B20" s="3" t="s">
        <v>332</v>
      </c>
      <c r="C20" s="3" t="s">
        <v>304</v>
      </c>
      <c r="D20" s="3" t="s">
        <v>299</v>
      </c>
      <c r="E20" s="3" t="s">
        <v>334</v>
      </c>
      <c r="F20" s="3" t="s">
        <v>283</v>
      </c>
      <c r="G20" s="3" t="s">
        <v>284</v>
      </c>
      <c r="H20" s="3"/>
      <c r="I20" s="3" t="s">
        <v>286</v>
      </c>
      <c r="J20" s="3" t="s">
        <v>286</v>
      </c>
      <c r="K20" s="3" t="s">
        <v>291</v>
      </c>
      <c r="L20" s="10" t="n">
        <f aca="false">COUNTIF(Documents!$B:$B,A20)</f>
        <v>4</v>
      </c>
      <c r="M20" s="10" t="n">
        <f aca="false">COUNTIFS(Documents!$B:$B,A20,Documents!$J:$J,"&gt;0")</f>
        <v>3</v>
      </c>
      <c r="N20" s="3"/>
    </row>
    <row r="21" customFormat="false" ht="23.85" hidden="false" customHeight="false" outlineLevel="0" collapsed="false">
      <c r="A21" s="3" t="s">
        <v>341</v>
      </c>
      <c r="B21" s="3" t="s">
        <v>332</v>
      </c>
      <c r="C21" s="3" t="s">
        <v>304</v>
      </c>
      <c r="D21" s="3" t="s">
        <v>299</v>
      </c>
      <c r="E21" s="3" t="s">
        <v>334</v>
      </c>
      <c r="F21" s="3" t="s">
        <v>283</v>
      </c>
      <c r="G21" s="3" t="s">
        <v>284</v>
      </c>
      <c r="H21" s="3"/>
      <c r="I21" s="3" t="s">
        <v>286</v>
      </c>
      <c r="J21" s="3" t="s">
        <v>286</v>
      </c>
      <c r="K21" s="3" t="s">
        <v>297</v>
      </c>
      <c r="L21" s="10" t="n">
        <f aca="false">COUNTIF(Documents!$B:$B,A21)</f>
        <v>3</v>
      </c>
      <c r="M21" s="10" t="n">
        <f aca="false">COUNTIFS(Documents!$B:$B,A21,Documents!$J:$J,"&gt;0")</f>
        <v>3</v>
      </c>
      <c r="N21" s="3"/>
    </row>
    <row r="22" customFormat="false" ht="23.85" hidden="false" customHeight="false" outlineLevel="0" collapsed="false">
      <c r="A22" s="3" t="s">
        <v>342</v>
      </c>
      <c r="B22" s="3" t="s">
        <v>332</v>
      </c>
      <c r="C22" s="3" t="s">
        <v>343</v>
      </c>
      <c r="D22" s="3" t="s">
        <v>299</v>
      </c>
      <c r="E22" s="3" t="s">
        <v>344</v>
      </c>
      <c r="F22" s="3" t="s">
        <v>283</v>
      </c>
      <c r="G22" s="3" t="s">
        <v>284</v>
      </c>
      <c r="H22" s="3"/>
      <c r="I22" s="3" t="s">
        <v>286</v>
      </c>
      <c r="J22" s="3" t="s">
        <v>286</v>
      </c>
      <c r="K22" s="3" t="s">
        <v>291</v>
      </c>
      <c r="L22" s="10" t="n">
        <f aca="false">COUNTIF(Documents!$B:$B,A22)</f>
        <v>4</v>
      </c>
      <c r="M22" s="10" t="n">
        <f aca="false">COUNTIFS(Documents!$B:$B,A22,Documents!$J:$J,"&gt;0")</f>
        <v>3</v>
      </c>
      <c r="N22" s="3"/>
    </row>
    <row r="23" customFormat="false" ht="23.85" hidden="false" customHeight="false" outlineLevel="0" collapsed="false">
      <c r="A23" s="3" t="s">
        <v>345</v>
      </c>
      <c r="B23" s="3" t="s">
        <v>332</v>
      </c>
      <c r="C23" s="3" t="s">
        <v>304</v>
      </c>
      <c r="D23" s="3" t="s">
        <v>318</v>
      </c>
      <c r="E23" s="3" t="s">
        <v>346</v>
      </c>
      <c r="F23" s="3" t="s">
        <v>283</v>
      </c>
      <c r="G23" s="3" t="s">
        <v>284</v>
      </c>
      <c r="H23" s="3"/>
      <c r="I23" s="3" t="s">
        <v>286</v>
      </c>
      <c r="J23" s="3" t="s">
        <v>286</v>
      </c>
      <c r="K23" s="3" t="s">
        <v>297</v>
      </c>
      <c r="L23" s="10" t="n">
        <f aca="false">COUNTIF(Documents!$B:$B,A23)</f>
        <v>1</v>
      </c>
      <c r="M23" s="10" t="n">
        <f aca="false">COUNTIFS(Documents!$B:$B,A23,Documents!$J:$J,"&gt;0")</f>
        <v>1</v>
      </c>
      <c r="N23" s="3"/>
    </row>
    <row r="24" customFormat="false" ht="23.85" hidden="false" customHeight="false" outlineLevel="0" collapsed="false">
      <c r="A24" s="3" t="s">
        <v>347</v>
      </c>
      <c r="B24" s="3" t="s">
        <v>332</v>
      </c>
      <c r="C24" s="3" t="s">
        <v>304</v>
      </c>
      <c r="D24" s="3" t="s">
        <v>348</v>
      </c>
      <c r="E24" s="3" t="s">
        <v>305</v>
      </c>
      <c r="F24" s="3" t="s">
        <v>339</v>
      </c>
      <c r="G24" s="3" t="s">
        <v>284</v>
      </c>
      <c r="H24" s="3"/>
      <c r="I24" s="3" t="s">
        <v>286</v>
      </c>
      <c r="J24" s="3" t="s">
        <v>286</v>
      </c>
      <c r="K24" s="3" t="s">
        <v>291</v>
      </c>
      <c r="L24" s="10" t="n">
        <f aca="false">COUNTIF(Documents!$B:$B,A24)</f>
        <v>2</v>
      </c>
      <c r="M24" s="10" t="n">
        <f aca="false">COUNTIFS(Documents!$B:$B,A24,Documents!$J:$J,"&gt;0")</f>
        <v>2</v>
      </c>
      <c r="N24" s="3"/>
    </row>
    <row r="25" customFormat="false" ht="23.85" hidden="false" customHeight="false" outlineLevel="0" collapsed="false">
      <c r="A25" s="3" t="s">
        <v>349</v>
      </c>
      <c r="B25" s="3" t="s">
        <v>332</v>
      </c>
      <c r="C25" s="3" t="s">
        <v>304</v>
      </c>
      <c r="D25" s="3" t="s">
        <v>348</v>
      </c>
      <c r="E25" s="3" t="s">
        <v>305</v>
      </c>
      <c r="F25" s="3" t="s">
        <v>283</v>
      </c>
      <c r="G25" s="3" t="s">
        <v>284</v>
      </c>
      <c r="H25" s="3"/>
      <c r="I25" s="3" t="s">
        <v>286</v>
      </c>
      <c r="J25" s="3" t="s">
        <v>286</v>
      </c>
      <c r="K25" s="3" t="s">
        <v>291</v>
      </c>
      <c r="L25" s="10" t="n">
        <f aca="false">COUNTIF(Documents!$B:$B,A25)</f>
        <v>3</v>
      </c>
      <c r="M25" s="10" t="n">
        <f aca="false">COUNTIFS(Documents!$B:$B,A25,Documents!$J:$J,"&gt;0")</f>
        <v>3</v>
      </c>
      <c r="N25" s="3"/>
    </row>
    <row r="26" customFormat="false" ht="23.85" hidden="false" customHeight="false" outlineLevel="0" collapsed="false">
      <c r="A26" s="3" t="s">
        <v>350</v>
      </c>
      <c r="B26" s="3" t="s">
        <v>332</v>
      </c>
      <c r="C26" s="3" t="s">
        <v>304</v>
      </c>
      <c r="D26" s="3" t="s">
        <v>348</v>
      </c>
      <c r="E26" s="3" t="s">
        <v>305</v>
      </c>
      <c r="F26" s="3" t="s">
        <v>283</v>
      </c>
      <c r="G26" s="3" t="s">
        <v>284</v>
      </c>
      <c r="H26" s="3"/>
      <c r="I26" s="3" t="s">
        <v>286</v>
      </c>
      <c r="J26" s="3" t="s">
        <v>286</v>
      </c>
      <c r="K26" s="3" t="s">
        <v>291</v>
      </c>
      <c r="L26" s="10" t="n">
        <f aca="false">COUNTIF(Documents!$B:$B,A26)</f>
        <v>3</v>
      </c>
      <c r="M26" s="10" t="n">
        <f aca="false">COUNTIFS(Documents!$B:$B,A26,Documents!$J:$J,"&gt;0")</f>
        <v>3</v>
      </c>
      <c r="N26" s="3"/>
    </row>
    <row r="27" customFormat="false" ht="23.85" hidden="false" customHeight="false" outlineLevel="0" collapsed="false">
      <c r="A27" s="3" t="s">
        <v>351</v>
      </c>
      <c r="B27" s="3" t="s">
        <v>332</v>
      </c>
      <c r="C27" s="3" t="s">
        <v>352</v>
      </c>
      <c r="D27" s="3" t="s">
        <v>353</v>
      </c>
      <c r="E27" s="3" t="s">
        <v>294</v>
      </c>
      <c r="F27" s="3" t="s">
        <v>283</v>
      </c>
      <c r="G27" s="3" t="s">
        <v>354</v>
      </c>
      <c r="H27" s="3"/>
      <c r="I27" s="3" t="s">
        <v>286</v>
      </c>
      <c r="J27" s="3" t="s">
        <v>286</v>
      </c>
      <c r="K27" s="3" t="s">
        <v>291</v>
      </c>
      <c r="L27" s="10" t="n">
        <f aca="false">COUNTIF(Documents!$B:$B,A27)</f>
        <v>1</v>
      </c>
      <c r="M27" s="10" t="n">
        <f aca="false">COUNTIFS(Documents!$B:$B,A27,Documents!$J:$J,"&gt;0")</f>
        <v>1</v>
      </c>
      <c r="N27" s="3"/>
    </row>
    <row r="28" customFormat="false" ht="23.85" hidden="false" customHeight="false" outlineLevel="0" collapsed="false">
      <c r="A28" s="3" t="s">
        <v>355</v>
      </c>
      <c r="B28" s="3" t="s">
        <v>332</v>
      </c>
      <c r="C28" s="3" t="s">
        <v>304</v>
      </c>
      <c r="D28" s="3" t="s">
        <v>299</v>
      </c>
      <c r="E28" s="3" t="s">
        <v>334</v>
      </c>
      <c r="F28" s="3" t="s">
        <v>283</v>
      </c>
      <c r="G28" s="3" t="s">
        <v>284</v>
      </c>
      <c r="H28" s="3"/>
      <c r="I28" s="3" t="s">
        <v>286</v>
      </c>
      <c r="J28" s="3" t="s">
        <v>286</v>
      </c>
      <c r="K28" s="3" t="s">
        <v>297</v>
      </c>
      <c r="L28" s="10" t="n">
        <f aca="false">COUNTIF(Documents!$B:$B,A28)</f>
        <v>2</v>
      </c>
      <c r="M28" s="10" t="n">
        <f aca="false">COUNTIFS(Documents!$B:$B,A28,Documents!$J:$J,"&gt;0")</f>
        <v>2</v>
      </c>
      <c r="N28" s="3"/>
    </row>
    <row r="29" customFormat="false" ht="23.85" hidden="false" customHeight="false" outlineLevel="0" collapsed="false">
      <c r="A29" s="3" t="s">
        <v>356</v>
      </c>
      <c r="B29" s="3" t="s">
        <v>332</v>
      </c>
      <c r="C29" s="3" t="s">
        <v>304</v>
      </c>
      <c r="D29" s="3" t="s">
        <v>299</v>
      </c>
      <c r="E29" s="3" t="s">
        <v>334</v>
      </c>
      <c r="F29" s="3" t="s">
        <v>339</v>
      </c>
      <c r="G29" s="3" t="s">
        <v>284</v>
      </c>
      <c r="H29" s="3"/>
      <c r="I29" s="3" t="s">
        <v>286</v>
      </c>
      <c r="J29" s="3" t="s">
        <v>286</v>
      </c>
      <c r="K29" s="3" t="s">
        <v>297</v>
      </c>
      <c r="L29" s="10" t="n">
        <f aca="false">COUNTIF(Documents!$B:$B,A29)</f>
        <v>2</v>
      </c>
      <c r="M29" s="10" t="n">
        <f aca="false">COUNTIFS(Documents!$B:$B,A29,Documents!$J:$J,"&gt;0")</f>
        <v>2</v>
      </c>
      <c r="N29" s="3"/>
    </row>
    <row r="30" customFormat="false" ht="23.85" hidden="false" customHeight="false" outlineLevel="0" collapsed="false">
      <c r="A30" s="3" t="s">
        <v>357</v>
      </c>
      <c r="B30" s="3" t="s">
        <v>332</v>
      </c>
      <c r="C30" s="3" t="s">
        <v>304</v>
      </c>
      <c r="D30" s="3" t="s">
        <v>299</v>
      </c>
      <c r="E30" s="3" t="s">
        <v>334</v>
      </c>
      <c r="F30" s="3" t="s">
        <v>283</v>
      </c>
      <c r="G30" s="3" t="s">
        <v>284</v>
      </c>
      <c r="H30" s="3"/>
      <c r="I30" s="3" t="s">
        <v>286</v>
      </c>
      <c r="J30" s="3" t="s">
        <v>286</v>
      </c>
      <c r="K30" s="3" t="s">
        <v>297</v>
      </c>
      <c r="L30" s="10" t="n">
        <f aca="false">COUNTIF(Documents!$B:$B,A30)</f>
        <v>2</v>
      </c>
      <c r="M30" s="10" t="n">
        <f aca="false">COUNTIFS(Documents!$B:$B,A30,Documents!$J:$J,"&gt;0")</f>
        <v>2</v>
      </c>
      <c r="N30" s="3"/>
    </row>
    <row r="31" customFormat="false" ht="23.85" hidden="false" customHeight="false" outlineLevel="0" collapsed="false">
      <c r="A31" s="3" t="s">
        <v>358</v>
      </c>
      <c r="B31" s="3" t="s">
        <v>332</v>
      </c>
      <c r="C31" s="3" t="s">
        <v>304</v>
      </c>
      <c r="D31" s="3" t="s">
        <v>299</v>
      </c>
      <c r="E31" s="3" t="s">
        <v>359</v>
      </c>
      <c r="F31" s="3" t="s">
        <v>283</v>
      </c>
      <c r="G31" s="3" t="s">
        <v>284</v>
      </c>
      <c r="H31" s="3"/>
      <c r="I31" s="3" t="s">
        <v>286</v>
      </c>
      <c r="J31" s="3" t="s">
        <v>301</v>
      </c>
      <c r="K31" s="3" t="s">
        <v>297</v>
      </c>
      <c r="L31" s="10" t="n">
        <f aca="false">COUNTIF(Documents!$B:$B,A31)</f>
        <v>1</v>
      </c>
      <c r="M31" s="10" t="n">
        <f aca="false">COUNTIFS(Documents!$B:$B,A31,Documents!$J:$J,"&gt;0")</f>
        <v>1</v>
      </c>
      <c r="N31" s="3"/>
    </row>
    <row r="32" customFormat="false" ht="23.85" hidden="false" customHeight="false" outlineLevel="0" collapsed="false">
      <c r="A32" s="3" t="s">
        <v>360</v>
      </c>
      <c r="B32" s="3" t="s">
        <v>332</v>
      </c>
      <c r="C32" s="3" t="s">
        <v>304</v>
      </c>
      <c r="D32" s="3" t="s">
        <v>299</v>
      </c>
      <c r="E32" s="3" t="s">
        <v>359</v>
      </c>
      <c r="F32" s="3" t="s">
        <v>283</v>
      </c>
      <c r="G32" s="3" t="s">
        <v>284</v>
      </c>
      <c r="H32" s="3"/>
      <c r="I32" s="3" t="s">
        <v>286</v>
      </c>
      <c r="J32" s="3" t="s">
        <v>286</v>
      </c>
      <c r="K32" s="3" t="s">
        <v>297</v>
      </c>
      <c r="L32" s="10" t="n">
        <f aca="false">COUNTIF(Documents!$B:$B,A32)</f>
        <v>1</v>
      </c>
      <c r="M32" s="10" t="n">
        <f aca="false">COUNTIFS(Documents!$B:$B,A32,Documents!$J:$J,"&gt;0")</f>
        <v>1</v>
      </c>
      <c r="N32" s="3"/>
    </row>
    <row r="33" customFormat="false" ht="23.85" hidden="false" customHeight="false" outlineLevel="0" collapsed="false">
      <c r="A33" s="3" t="s">
        <v>361</v>
      </c>
      <c r="B33" s="3" t="s">
        <v>332</v>
      </c>
      <c r="C33" s="3" t="s">
        <v>304</v>
      </c>
      <c r="D33" s="3" t="s">
        <v>299</v>
      </c>
      <c r="E33" s="3" t="s">
        <v>359</v>
      </c>
      <c r="F33" s="3" t="s">
        <v>283</v>
      </c>
      <c r="G33" s="3" t="s">
        <v>284</v>
      </c>
      <c r="H33" s="3"/>
      <c r="I33" s="3" t="s">
        <v>286</v>
      </c>
      <c r="J33" s="3" t="s">
        <v>301</v>
      </c>
      <c r="K33" s="3" t="s">
        <v>297</v>
      </c>
      <c r="L33" s="10" t="n">
        <f aca="false">COUNTIF(Documents!$B:$B,A33)</f>
        <v>1</v>
      </c>
      <c r="M33" s="10" t="n">
        <f aca="false">COUNTIFS(Documents!$B:$B,A33,Documents!$J:$J,"&gt;0")</f>
        <v>1</v>
      </c>
      <c r="N33" s="3"/>
    </row>
    <row r="34" customFormat="false" ht="23.85" hidden="false" customHeight="false" outlineLevel="0" collapsed="false">
      <c r="A34" s="3" t="s">
        <v>362</v>
      </c>
      <c r="B34" s="3" t="s">
        <v>332</v>
      </c>
      <c r="C34" s="3" t="s">
        <v>304</v>
      </c>
      <c r="D34" s="3" t="s">
        <v>299</v>
      </c>
      <c r="E34" s="3" t="s">
        <v>359</v>
      </c>
      <c r="F34" s="3" t="s">
        <v>283</v>
      </c>
      <c r="G34" s="3" t="s">
        <v>284</v>
      </c>
      <c r="H34" s="3"/>
      <c r="I34" s="3" t="s">
        <v>286</v>
      </c>
      <c r="J34" s="3" t="s">
        <v>301</v>
      </c>
      <c r="K34" s="3" t="s">
        <v>297</v>
      </c>
      <c r="L34" s="10" t="n">
        <f aca="false">COUNTIF(Documents!$B:$B,A34)</f>
        <v>1</v>
      </c>
      <c r="M34" s="10" t="n">
        <f aca="false">COUNTIFS(Documents!$B:$B,A34,Documents!$J:$J,"&gt;0")</f>
        <v>1</v>
      </c>
      <c r="N34" s="3"/>
    </row>
    <row r="35" customFormat="false" ht="23.85" hidden="false" customHeight="false" outlineLevel="0" collapsed="false">
      <c r="A35" s="3" t="s">
        <v>363</v>
      </c>
      <c r="B35" s="3" t="s">
        <v>332</v>
      </c>
      <c r="C35" s="3" t="s">
        <v>304</v>
      </c>
      <c r="D35" s="3" t="s">
        <v>364</v>
      </c>
      <c r="E35" s="3" t="s">
        <v>359</v>
      </c>
      <c r="F35" s="3" t="s">
        <v>339</v>
      </c>
      <c r="G35" s="3" t="s">
        <v>284</v>
      </c>
      <c r="H35" s="3"/>
      <c r="I35" s="3" t="s">
        <v>286</v>
      </c>
      <c r="J35" s="3" t="s">
        <v>286</v>
      </c>
      <c r="K35" s="3" t="s">
        <v>297</v>
      </c>
      <c r="L35" s="10" t="n">
        <f aca="false">COUNTIF(Documents!$B:$B,A35)</f>
        <v>1</v>
      </c>
      <c r="M35" s="10" t="n">
        <f aca="false">COUNTIFS(Documents!$B:$B,A35,Documents!$J:$J,"&gt;0")</f>
        <v>1</v>
      </c>
      <c r="N35" s="3"/>
    </row>
    <row r="36" customFormat="false" ht="23.85" hidden="false" customHeight="false" outlineLevel="0" collapsed="false">
      <c r="A36" s="3" t="s">
        <v>365</v>
      </c>
      <c r="B36" s="3" t="s">
        <v>366</v>
      </c>
      <c r="C36" s="3" t="s">
        <v>367</v>
      </c>
      <c r="D36" s="3" t="s">
        <v>281</v>
      </c>
      <c r="E36" s="3" t="s">
        <v>294</v>
      </c>
      <c r="F36" s="3" t="s">
        <v>283</v>
      </c>
      <c r="G36" s="3" t="s">
        <v>368</v>
      </c>
      <c r="H36" s="3" t="s">
        <v>311</v>
      </c>
      <c r="I36" s="3" t="s">
        <v>286</v>
      </c>
      <c r="J36" s="3" t="s">
        <v>286</v>
      </c>
      <c r="K36" s="3" t="s">
        <v>287</v>
      </c>
      <c r="L36" s="10" t="n">
        <f aca="false">COUNTIF(Documents!$B:$B,A36)</f>
        <v>7</v>
      </c>
      <c r="M36" s="10" t="n">
        <f aca="false">COUNTIFS(Documents!$B:$B,A36,Documents!$J:$J,"&gt;0")</f>
        <v>3</v>
      </c>
      <c r="N36" s="3"/>
    </row>
    <row r="37" customFormat="false" ht="23.85" hidden="false" customHeight="false" outlineLevel="0" collapsed="false">
      <c r="A37" s="3" t="s">
        <v>369</v>
      </c>
      <c r="B37" s="3" t="s">
        <v>366</v>
      </c>
      <c r="C37" s="3" t="s">
        <v>370</v>
      </c>
      <c r="D37" s="3" t="s">
        <v>281</v>
      </c>
      <c r="E37" s="3" t="s">
        <v>309</v>
      </c>
      <c r="F37" s="3" t="s">
        <v>283</v>
      </c>
      <c r="G37" s="3" t="s">
        <v>284</v>
      </c>
      <c r="H37" s="3"/>
      <c r="I37" s="3" t="s">
        <v>286</v>
      </c>
      <c r="J37" s="3" t="s">
        <v>286</v>
      </c>
      <c r="K37" s="3" t="s">
        <v>291</v>
      </c>
      <c r="L37" s="10" t="n">
        <f aca="false">COUNTIF(Documents!$B:$B,A37)</f>
        <v>1</v>
      </c>
      <c r="M37" s="10" t="n">
        <f aca="false">COUNTIFS(Documents!$B:$B,A37,Documents!$J:$J,"&gt;0")</f>
        <v>1</v>
      </c>
      <c r="N37" s="3"/>
    </row>
    <row r="38" customFormat="false" ht="23.85" hidden="false" customHeight="false" outlineLevel="0" collapsed="false">
      <c r="A38" s="3" t="s">
        <v>371</v>
      </c>
      <c r="B38" s="3" t="s">
        <v>366</v>
      </c>
      <c r="C38" s="3" t="s">
        <v>308</v>
      </c>
      <c r="D38" s="3" t="s">
        <v>372</v>
      </c>
      <c r="E38" s="3" t="s">
        <v>373</v>
      </c>
      <c r="F38" s="3" t="s">
        <v>283</v>
      </c>
      <c r="G38" s="3" t="s">
        <v>284</v>
      </c>
      <c r="H38" s="3" t="s">
        <v>311</v>
      </c>
      <c r="I38" s="3" t="s">
        <v>286</v>
      </c>
      <c r="J38" s="3" t="s">
        <v>286</v>
      </c>
      <c r="K38" s="3" t="s">
        <v>291</v>
      </c>
      <c r="L38" s="10" t="n">
        <f aca="false">COUNTIF(Documents!$B:$B,A38)</f>
        <v>3</v>
      </c>
      <c r="M38" s="10" t="n">
        <f aca="false">COUNTIFS(Documents!$B:$B,A38,Documents!$J:$J,"&gt;0")</f>
        <v>3</v>
      </c>
      <c r="N38" s="3"/>
    </row>
    <row r="39" customFormat="false" ht="23.85" hidden="false" customHeight="false" outlineLevel="0" collapsed="false">
      <c r="A39" s="3" t="s">
        <v>374</v>
      </c>
      <c r="B39" s="3" t="s">
        <v>366</v>
      </c>
      <c r="C39" s="3" t="s">
        <v>370</v>
      </c>
      <c r="D39" s="3" t="s">
        <v>289</v>
      </c>
      <c r="E39" s="3" t="s">
        <v>296</v>
      </c>
      <c r="F39" s="3" t="s">
        <v>283</v>
      </c>
      <c r="G39" s="3" t="s">
        <v>300</v>
      </c>
      <c r="H39" s="3"/>
      <c r="I39" s="3" t="s">
        <v>286</v>
      </c>
      <c r="J39" s="3" t="s">
        <v>286</v>
      </c>
      <c r="K39" s="3" t="s">
        <v>291</v>
      </c>
      <c r="L39" s="10" t="n">
        <f aca="false">COUNTIF(Documents!$B:$B,A39)</f>
        <v>2</v>
      </c>
      <c r="M39" s="10" t="n">
        <f aca="false">COUNTIFS(Documents!$B:$B,A39,Documents!$J:$J,"&gt;0")</f>
        <v>2</v>
      </c>
      <c r="N39" s="3"/>
    </row>
    <row r="40" customFormat="false" ht="23.85" hidden="false" customHeight="false" outlineLevel="0" collapsed="false">
      <c r="A40" s="3" t="s">
        <v>375</v>
      </c>
      <c r="B40" s="3" t="s">
        <v>366</v>
      </c>
      <c r="C40" s="3" t="s">
        <v>370</v>
      </c>
      <c r="D40" s="3" t="s">
        <v>289</v>
      </c>
      <c r="E40" s="3" t="s">
        <v>376</v>
      </c>
      <c r="F40" s="3" t="s">
        <v>283</v>
      </c>
      <c r="G40" s="3" t="s">
        <v>300</v>
      </c>
      <c r="H40" s="3" t="s">
        <v>377</v>
      </c>
      <c r="I40" s="3" t="s">
        <v>286</v>
      </c>
      <c r="J40" s="3" t="s">
        <v>286</v>
      </c>
      <c r="K40" s="3" t="s">
        <v>291</v>
      </c>
      <c r="L40" s="10" t="n">
        <f aca="false">COUNTIF(Documents!$B:$B,A40)</f>
        <v>4</v>
      </c>
      <c r="M40" s="10" t="n">
        <f aca="false">COUNTIFS(Documents!$B:$B,A40,Documents!$J:$J,"&gt;0")</f>
        <v>3</v>
      </c>
      <c r="N40" s="3"/>
    </row>
    <row r="41" customFormat="false" ht="23.85" hidden="false" customHeight="false" outlineLevel="0" collapsed="false">
      <c r="A41" s="3" t="s">
        <v>378</v>
      </c>
      <c r="B41" s="3" t="s">
        <v>366</v>
      </c>
      <c r="C41" s="3" t="s">
        <v>370</v>
      </c>
      <c r="D41" s="3" t="s">
        <v>379</v>
      </c>
      <c r="E41" s="3" t="s">
        <v>315</v>
      </c>
      <c r="F41" s="3" t="s">
        <v>283</v>
      </c>
      <c r="G41" s="3" t="s">
        <v>380</v>
      </c>
      <c r="H41" s="3" t="s">
        <v>377</v>
      </c>
      <c r="I41" s="3" t="s">
        <v>286</v>
      </c>
      <c r="J41" s="3" t="s">
        <v>286</v>
      </c>
      <c r="K41" s="3" t="s">
        <v>291</v>
      </c>
      <c r="L41" s="10" t="n">
        <f aca="false">COUNTIF(Documents!$B:$B,A41)</f>
        <v>3</v>
      </c>
      <c r="M41" s="10" t="n">
        <f aca="false">COUNTIFS(Documents!$B:$B,A41,Documents!$J:$J,"&gt;0")</f>
        <v>3</v>
      </c>
      <c r="N41" s="3"/>
    </row>
    <row r="42" customFormat="false" ht="23.85" hidden="false" customHeight="false" outlineLevel="0" collapsed="false">
      <c r="A42" s="3" t="s">
        <v>381</v>
      </c>
      <c r="B42" s="3" t="s">
        <v>366</v>
      </c>
      <c r="C42" s="3" t="s">
        <v>370</v>
      </c>
      <c r="D42" s="3" t="s">
        <v>372</v>
      </c>
      <c r="E42" s="3" t="s">
        <v>382</v>
      </c>
      <c r="F42" s="3" t="s">
        <v>283</v>
      </c>
      <c r="G42" s="3" t="s">
        <v>383</v>
      </c>
      <c r="H42" s="3" t="s">
        <v>311</v>
      </c>
      <c r="I42" s="3" t="s">
        <v>286</v>
      </c>
      <c r="J42" s="3" t="s">
        <v>286</v>
      </c>
      <c r="K42" s="3" t="s">
        <v>291</v>
      </c>
      <c r="L42" s="10" t="n">
        <f aca="false">COUNTIF(Documents!$B:$B,A42)</f>
        <v>4</v>
      </c>
      <c r="M42" s="10" t="n">
        <f aca="false">COUNTIFS(Documents!$B:$B,A42,Documents!$J:$J,"&gt;0")</f>
        <v>3</v>
      </c>
      <c r="N42" s="3"/>
    </row>
    <row r="43" customFormat="false" ht="23.85" hidden="false" customHeight="false" outlineLevel="0" collapsed="false">
      <c r="A43" s="3" t="s">
        <v>384</v>
      </c>
      <c r="B43" s="3" t="s">
        <v>366</v>
      </c>
      <c r="C43" s="3" t="s">
        <v>385</v>
      </c>
      <c r="D43" s="3" t="s">
        <v>372</v>
      </c>
      <c r="E43" s="3" t="s">
        <v>294</v>
      </c>
      <c r="F43" s="3" t="s">
        <v>283</v>
      </c>
      <c r="G43" s="3" t="s">
        <v>386</v>
      </c>
      <c r="H43" s="3" t="s">
        <v>377</v>
      </c>
      <c r="I43" s="3" t="s">
        <v>286</v>
      </c>
      <c r="J43" s="3" t="s">
        <v>286</v>
      </c>
      <c r="K43" s="3" t="s">
        <v>291</v>
      </c>
      <c r="L43" s="10" t="n">
        <f aca="false">COUNTIF(Documents!$B:$B,A43)</f>
        <v>5</v>
      </c>
      <c r="M43" s="10" t="n">
        <f aca="false">COUNTIFS(Documents!$B:$B,A43,Documents!$J:$J,"&gt;0")</f>
        <v>3</v>
      </c>
      <c r="N43" s="3"/>
    </row>
    <row r="44" customFormat="false" ht="23.85" hidden="false" customHeight="false" outlineLevel="0" collapsed="false">
      <c r="A44" s="3" t="s">
        <v>387</v>
      </c>
      <c r="B44" s="3" t="s">
        <v>366</v>
      </c>
      <c r="C44" s="3" t="s">
        <v>388</v>
      </c>
      <c r="D44" s="3" t="s">
        <v>314</v>
      </c>
      <c r="E44" s="3" t="s">
        <v>389</v>
      </c>
      <c r="F44" s="3" t="s">
        <v>283</v>
      </c>
      <c r="G44" s="3" t="s">
        <v>284</v>
      </c>
      <c r="H44" s="3" t="s">
        <v>311</v>
      </c>
      <c r="I44" s="3" t="s">
        <v>286</v>
      </c>
      <c r="J44" s="3" t="s">
        <v>286</v>
      </c>
      <c r="K44" s="3" t="s">
        <v>291</v>
      </c>
      <c r="L44" s="10" t="n">
        <f aca="false">COUNTIF(Documents!$B:$B,A44)</f>
        <v>4</v>
      </c>
      <c r="M44" s="10" t="n">
        <f aca="false">COUNTIFS(Documents!$B:$B,A44,Documents!$J:$J,"&gt;0")</f>
        <v>3</v>
      </c>
      <c r="N44" s="3"/>
    </row>
    <row r="45" customFormat="false" ht="35.05" hidden="false" customHeight="false" outlineLevel="0" collapsed="false">
      <c r="A45" s="3" t="s">
        <v>390</v>
      </c>
      <c r="B45" s="3" t="s">
        <v>366</v>
      </c>
      <c r="C45" s="3" t="s">
        <v>388</v>
      </c>
      <c r="D45" s="3" t="s">
        <v>391</v>
      </c>
      <c r="E45" s="3" t="s">
        <v>294</v>
      </c>
      <c r="F45" s="3" t="s">
        <v>283</v>
      </c>
      <c r="G45" s="3" t="s">
        <v>392</v>
      </c>
      <c r="H45" s="3" t="s">
        <v>377</v>
      </c>
      <c r="I45" s="3" t="s">
        <v>286</v>
      </c>
      <c r="J45" s="3" t="s">
        <v>286</v>
      </c>
      <c r="K45" s="3" t="s">
        <v>291</v>
      </c>
      <c r="L45" s="10" t="n">
        <f aca="false">COUNTIF(Documents!$B:$B,A45)</f>
        <v>3</v>
      </c>
      <c r="M45" s="10" t="n">
        <f aca="false">COUNTIFS(Documents!$B:$B,A45,Documents!$J:$J,"&gt;0")</f>
        <v>3</v>
      </c>
      <c r="N45" s="3"/>
    </row>
    <row r="46" customFormat="false" ht="23.85" hidden="false" customHeight="false" outlineLevel="0" collapsed="false">
      <c r="A46" s="3" t="s">
        <v>393</v>
      </c>
      <c r="B46" s="3" t="s">
        <v>366</v>
      </c>
      <c r="C46" s="3" t="s">
        <v>394</v>
      </c>
      <c r="D46" s="3" t="s">
        <v>299</v>
      </c>
      <c r="E46" s="3" t="s">
        <v>294</v>
      </c>
      <c r="F46" s="3" t="s">
        <v>283</v>
      </c>
      <c r="G46" s="3" t="s">
        <v>300</v>
      </c>
      <c r="H46" s="3"/>
      <c r="I46" s="3" t="s">
        <v>286</v>
      </c>
      <c r="J46" s="3" t="s">
        <v>301</v>
      </c>
      <c r="K46" s="3" t="s">
        <v>395</v>
      </c>
      <c r="L46" s="10" t="n">
        <f aca="false">COUNTIF(Documents!$B:$B,A46)</f>
        <v>0</v>
      </c>
      <c r="M46" s="10" t="n">
        <f aca="false">COUNTIFS(Documents!$B:$B,A46,Documents!$J:$J,"&gt;0")</f>
        <v>0</v>
      </c>
      <c r="N46" s="3"/>
    </row>
    <row r="47" customFormat="false" ht="15" hidden="false" customHeight="false" outlineLevel="0" collapsed="false">
      <c r="A47" s="3" t="s">
        <v>396</v>
      </c>
      <c r="B47" s="3" t="s">
        <v>397</v>
      </c>
      <c r="C47" s="3" t="s">
        <v>398</v>
      </c>
      <c r="D47" s="3" t="s">
        <v>399</v>
      </c>
      <c r="E47" s="3" t="s">
        <v>294</v>
      </c>
      <c r="F47" s="3" t="s">
        <v>400</v>
      </c>
      <c r="G47" s="3" t="s">
        <v>284</v>
      </c>
      <c r="H47" s="3" t="s">
        <v>311</v>
      </c>
      <c r="I47" s="3" t="s">
        <v>286</v>
      </c>
      <c r="J47" s="3" t="s">
        <v>286</v>
      </c>
      <c r="K47" s="3" t="s">
        <v>291</v>
      </c>
      <c r="L47" s="10" t="n">
        <f aca="false">COUNTIF(Documents!$B:$B,A47)</f>
        <v>4</v>
      </c>
      <c r="M47" s="10" t="n">
        <f aca="false">COUNTIFS(Documents!$B:$B,A47,Documents!$J:$J,"&gt;0")</f>
        <v>3</v>
      </c>
      <c r="N47" s="3"/>
    </row>
    <row r="48" customFormat="false" ht="15" hidden="false" customHeight="false" outlineLevel="0" collapsed="false">
      <c r="A48" s="3" t="s">
        <v>401</v>
      </c>
      <c r="B48" s="3" t="s">
        <v>397</v>
      </c>
      <c r="C48" s="3" t="s">
        <v>398</v>
      </c>
      <c r="D48" s="3" t="s">
        <v>299</v>
      </c>
      <c r="E48" s="3" t="s">
        <v>305</v>
      </c>
      <c r="F48" s="3" t="s">
        <v>283</v>
      </c>
      <c r="G48" s="3" t="s">
        <v>284</v>
      </c>
      <c r="H48" s="3"/>
      <c r="I48" s="3" t="s">
        <v>286</v>
      </c>
      <c r="J48" s="3" t="s">
        <v>286</v>
      </c>
      <c r="K48" s="3" t="s">
        <v>297</v>
      </c>
      <c r="L48" s="10" t="n">
        <f aca="false">COUNTIF(Documents!$B:$B,A48)</f>
        <v>2</v>
      </c>
      <c r="M48" s="10" t="n">
        <f aca="false">COUNTIFS(Documents!$B:$B,A48,Documents!$J:$J,"&gt;0")</f>
        <v>2</v>
      </c>
      <c r="N48" s="3"/>
    </row>
    <row r="49" customFormat="false" ht="15" hidden="false" customHeight="false" outlineLevel="0" collapsed="false">
      <c r="A49" s="3" t="s">
        <v>402</v>
      </c>
      <c r="B49" s="3" t="s">
        <v>397</v>
      </c>
      <c r="C49" s="3" t="s">
        <v>398</v>
      </c>
      <c r="D49" s="3" t="s">
        <v>299</v>
      </c>
      <c r="E49" s="3" t="s">
        <v>305</v>
      </c>
      <c r="F49" s="3" t="s">
        <v>283</v>
      </c>
      <c r="G49" s="3" t="s">
        <v>284</v>
      </c>
      <c r="H49" s="3"/>
      <c r="I49" s="3" t="s">
        <v>286</v>
      </c>
      <c r="J49" s="3" t="s">
        <v>286</v>
      </c>
      <c r="K49" s="3" t="s">
        <v>297</v>
      </c>
      <c r="L49" s="10" t="n">
        <f aca="false">COUNTIF(Documents!$B:$B,A49)</f>
        <v>2</v>
      </c>
      <c r="M49" s="10" t="n">
        <f aca="false">COUNTIFS(Documents!$B:$B,A49,Documents!$J:$J,"&gt;0")</f>
        <v>2</v>
      </c>
      <c r="N49" s="3"/>
    </row>
    <row r="50" customFormat="false" ht="35.05" hidden="false" customHeight="false" outlineLevel="0" collapsed="false">
      <c r="A50" s="3" t="s">
        <v>403</v>
      </c>
      <c r="B50" s="3" t="s">
        <v>397</v>
      </c>
      <c r="C50" s="3" t="s">
        <v>404</v>
      </c>
      <c r="D50" s="3" t="s">
        <v>405</v>
      </c>
      <c r="E50" s="3" t="s">
        <v>406</v>
      </c>
      <c r="F50" s="3" t="s">
        <v>283</v>
      </c>
      <c r="G50" s="3" t="s">
        <v>354</v>
      </c>
      <c r="H50" s="3" t="s">
        <v>377</v>
      </c>
      <c r="I50" s="3" t="s">
        <v>286</v>
      </c>
      <c r="J50" s="3" t="s">
        <v>286</v>
      </c>
      <c r="K50" s="3" t="s">
        <v>291</v>
      </c>
      <c r="L50" s="10" t="n">
        <f aca="false">COUNTIF(Documents!$B:$B,A50)</f>
        <v>2</v>
      </c>
      <c r="M50" s="10" t="n">
        <f aca="false">COUNTIFS(Documents!$B:$B,A50,Documents!$J:$J,"&gt;0")</f>
        <v>2</v>
      </c>
      <c r="N50" s="3"/>
    </row>
    <row r="51" customFormat="false" ht="23.85" hidden="false" customHeight="false" outlineLevel="0" collapsed="false">
      <c r="A51" s="3" t="s">
        <v>407</v>
      </c>
      <c r="B51" s="3" t="s">
        <v>397</v>
      </c>
      <c r="C51" s="3" t="s">
        <v>408</v>
      </c>
      <c r="D51" s="3" t="s">
        <v>299</v>
      </c>
      <c r="E51" s="3" t="s">
        <v>359</v>
      </c>
      <c r="F51" s="3" t="s">
        <v>283</v>
      </c>
      <c r="G51" s="3" t="s">
        <v>284</v>
      </c>
      <c r="H51" s="3"/>
      <c r="I51" s="3" t="s">
        <v>286</v>
      </c>
      <c r="J51" s="3" t="s">
        <v>286</v>
      </c>
      <c r="K51" s="3" t="s">
        <v>297</v>
      </c>
      <c r="L51" s="10" t="n">
        <f aca="false">COUNTIF(Documents!$B:$B,A51)</f>
        <v>2</v>
      </c>
      <c r="M51" s="10" t="n">
        <f aca="false">COUNTIFS(Documents!$B:$B,A51,Documents!$J:$J,"&gt;0")</f>
        <v>2</v>
      </c>
      <c r="N51" s="3"/>
    </row>
    <row r="52" customFormat="false" ht="15" hidden="false" customHeight="false" outlineLevel="0" collapsed="false">
      <c r="A52" s="3" t="s">
        <v>409</v>
      </c>
      <c r="B52" s="3" t="s">
        <v>410</v>
      </c>
      <c r="C52" s="3" t="s">
        <v>411</v>
      </c>
      <c r="D52" s="3" t="s">
        <v>314</v>
      </c>
      <c r="E52" s="3" t="s">
        <v>412</v>
      </c>
      <c r="F52" s="3" t="s">
        <v>283</v>
      </c>
      <c r="G52" s="3" t="s">
        <v>284</v>
      </c>
      <c r="H52" s="3" t="s">
        <v>413</v>
      </c>
      <c r="I52" s="3" t="s">
        <v>286</v>
      </c>
      <c r="J52" s="3" t="s">
        <v>286</v>
      </c>
      <c r="K52" s="3" t="s">
        <v>291</v>
      </c>
      <c r="L52" s="10" t="n">
        <f aca="false">COUNTIF(Documents!$B:$B,A52)</f>
        <v>4</v>
      </c>
      <c r="M52" s="10" t="n">
        <f aca="false">COUNTIFS(Documents!$B:$B,A52,Documents!$J:$J,"&gt;0")</f>
        <v>3</v>
      </c>
      <c r="N52" s="3"/>
    </row>
    <row r="53" customFormat="false" ht="15" hidden="false" customHeight="false" outlineLevel="0" collapsed="false">
      <c r="A53" s="3" t="s">
        <v>414</v>
      </c>
      <c r="B53" s="3" t="s">
        <v>410</v>
      </c>
      <c r="C53" s="3" t="s">
        <v>411</v>
      </c>
      <c r="D53" s="3" t="s">
        <v>372</v>
      </c>
      <c r="E53" s="3" t="s">
        <v>415</v>
      </c>
      <c r="F53" s="3" t="s">
        <v>283</v>
      </c>
      <c r="G53" s="3" t="s">
        <v>416</v>
      </c>
      <c r="H53" s="3" t="s">
        <v>311</v>
      </c>
      <c r="I53" s="3" t="s">
        <v>286</v>
      </c>
      <c r="J53" s="3" t="s">
        <v>286</v>
      </c>
      <c r="K53" s="3" t="s">
        <v>291</v>
      </c>
      <c r="L53" s="10" t="n">
        <f aca="false">COUNTIF(Documents!$B:$B,A53)</f>
        <v>3</v>
      </c>
      <c r="M53" s="10" t="n">
        <f aca="false">COUNTIFS(Documents!$B:$B,A53,Documents!$J:$J,"&gt;0")</f>
        <v>3</v>
      </c>
      <c r="N53" s="3"/>
    </row>
    <row r="54" customFormat="false" ht="23.85" hidden="false" customHeight="false" outlineLevel="0" collapsed="false">
      <c r="A54" s="3" t="s">
        <v>91</v>
      </c>
      <c r="B54" s="3" t="s">
        <v>410</v>
      </c>
      <c r="C54" s="3" t="s">
        <v>417</v>
      </c>
      <c r="D54" s="3" t="s">
        <v>418</v>
      </c>
      <c r="E54" s="3" t="s">
        <v>326</v>
      </c>
      <c r="F54" s="3" t="s">
        <v>327</v>
      </c>
      <c r="G54" s="3" t="s">
        <v>419</v>
      </c>
      <c r="H54" s="3" t="s">
        <v>413</v>
      </c>
      <c r="I54" s="3" t="s">
        <v>286</v>
      </c>
      <c r="J54" s="3" t="s">
        <v>286</v>
      </c>
      <c r="K54" s="3" t="s">
        <v>287</v>
      </c>
      <c r="L54" s="10" t="n">
        <f aca="false">COUNTIF(Documents!$B:$B,A54)</f>
        <v>6</v>
      </c>
      <c r="M54" s="10" t="n">
        <f aca="false">COUNTIFS(Documents!$B:$B,A54,Documents!$J:$J,"&gt;0")</f>
        <v>3</v>
      </c>
      <c r="N54" s="3"/>
    </row>
    <row r="55" customFormat="false" ht="23.85" hidden="false" customHeight="false" outlineLevel="0" collapsed="false">
      <c r="A55" s="3" t="s">
        <v>420</v>
      </c>
      <c r="B55" s="3" t="s">
        <v>410</v>
      </c>
      <c r="C55" s="3" t="s">
        <v>411</v>
      </c>
      <c r="D55" s="3" t="s">
        <v>281</v>
      </c>
      <c r="E55" s="3" t="s">
        <v>294</v>
      </c>
      <c r="F55" s="3" t="s">
        <v>283</v>
      </c>
      <c r="G55" s="3" t="s">
        <v>421</v>
      </c>
      <c r="H55" s="3"/>
      <c r="I55" s="3" t="s">
        <v>286</v>
      </c>
      <c r="J55" s="3" t="s">
        <v>286</v>
      </c>
      <c r="K55" s="3" t="s">
        <v>422</v>
      </c>
      <c r="L55" s="10" t="n">
        <f aca="false">COUNTIF(Documents!$B:$B,A55)</f>
        <v>4</v>
      </c>
      <c r="M55" s="10" t="n">
        <f aca="false">COUNTIFS(Documents!$B:$B,A55,Documents!$J:$J,"&gt;0")</f>
        <v>3</v>
      </c>
      <c r="N55" s="3"/>
    </row>
    <row r="56" customFormat="false" ht="23.85" hidden="false" customHeight="false" outlineLevel="0" collapsed="false">
      <c r="A56" s="3" t="s">
        <v>423</v>
      </c>
      <c r="B56" s="3" t="s">
        <v>410</v>
      </c>
      <c r="C56" s="3" t="s">
        <v>411</v>
      </c>
      <c r="D56" s="3" t="s">
        <v>424</v>
      </c>
      <c r="E56" s="3" t="s">
        <v>359</v>
      </c>
      <c r="F56" s="3" t="s">
        <v>327</v>
      </c>
      <c r="G56" s="3" t="s">
        <v>284</v>
      </c>
      <c r="H56" s="3"/>
      <c r="I56" s="3" t="s">
        <v>286</v>
      </c>
      <c r="J56" s="3" t="s">
        <v>286</v>
      </c>
      <c r="K56" s="3" t="s">
        <v>422</v>
      </c>
      <c r="L56" s="10" t="n">
        <f aca="false">COUNTIF(Documents!$B:$B,A56)</f>
        <v>2</v>
      </c>
      <c r="M56" s="10" t="n">
        <f aca="false">COUNTIFS(Documents!$B:$B,A56,Documents!$J:$J,"&gt;0")</f>
        <v>2</v>
      </c>
      <c r="N56" s="3"/>
    </row>
    <row r="57" customFormat="false" ht="23.85" hidden="false" customHeight="false" outlineLevel="0" collapsed="false">
      <c r="A57" s="3" t="s">
        <v>151</v>
      </c>
      <c r="B57" s="3" t="s">
        <v>410</v>
      </c>
      <c r="C57" s="3" t="s">
        <v>411</v>
      </c>
      <c r="D57" s="3" t="s">
        <v>425</v>
      </c>
      <c r="E57" s="3" t="s">
        <v>359</v>
      </c>
      <c r="F57" s="3" t="s">
        <v>283</v>
      </c>
      <c r="G57" s="3" t="s">
        <v>284</v>
      </c>
      <c r="H57" s="3"/>
      <c r="I57" s="3" t="s">
        <v>286</v>
      </c>
      <c r="J57" s="3" t="s">
        <v>286</v>
      </c>
      <c r="K57" s="3" t="s">
        <v>422</v>
      </c>
      <c r="L57" s="10" t="n">
        <f aca="false">COUNTIF(Documents!$B:$B,A57)</f>
        <v>3</v>
      </c>
      <c r="M57" s="10" t="n">
        <f aca="false">COUNTIFS(Documents!$B:$B,A57,Documents!$J:$J,"&gt;0")</f>
        <v>3</v>
      </c>
      <c r="N57" s="3"/>
    </row>
    <row r="58" customFormat="false" ht="15" hidden="false" customHeight="false" outlineLevel="0" collapsed="false">
      <c r="A58" s="3" t="s">
        <v>426</v>
      </c>
      <c r="B58" s="3" t="s">
        <v>410</v>
      </c>
      <c r="C58" s="3" t="s">
        <v>411</v>
      </c>
      <c r="D58" s="3" t="s">
        <v>299</v>
      </c>
      <c r="E58" s="3" t="s">
        <v>359</v>
      </c>
      <c r="F58" s="3" t="s">
        <v>283</v>
      </c>
      <c r="G58" s="3" t="s">
        <v>284</v>
      </c>
      <c r="H58" s="3"/>
      <c r="I58" s="3" t="s">
        <v>286</v>
      </c>
      <c r="J58" s="3" t="s">
        <v>301</v>
      </c>
      <c r="K58" s="3" t="s">
        <v>422</v>
      </c>
      <c r="L58" s="10" t="n">
        <f aca="false">COUNTIF(Documents!$B:$B,A58)</f>
        <v>2</v>
      </c>
      <c r="M58" s="10" t="n">
        <f aca="false">COUNTIFS(Documents!$B:$B,A58,Documents!$J:$J,"&gt;0")</f>
        <v>2</v>
      </c>
      <c r="N58" s="3"/>
    </row>
    <row r="59" customFormat="false" ht="15" hidden="false" customHeight="false" outlineLevel="0" collapsed="false">
      <c r="A59" s="3" t="s">
        <v>427</v>
      </c>
      <c r="B59" s="3" t="s">
        <v>410</v>
      </c>
      <c r="C59" s="3" t="s">
        <v>411</v>
      </c>
      <c r="D59" s="3" t="s">
        <v>299</v>
      </c>
      <c r="E59" s="3" t="s">
        <v>359</v>
      </c>
      <c r="F59" s="3" t="s">
        <v>283</v>
      </c>
      <c r="G59" s="3" t="s">
        <v>284</v>
      </c>
      <c r="H59" s="3"/>
      <c r="I59" s="3" t="s">
        <v>286</v>
      </c>
      <c r="J59" s="3" t="s">
        <v>301</v>
      </c>
      <c r="K59" s="3" t="s">
        <v>422</v>
      </c>
      <c r="L59" s="10" t="n">
        <f aca="false">COUNTIF(Documents!$B:$B,A59)</f>
        <v>2</v>
      </c>
      <c r="M59" s="10" t="n">
        <f aca="false">COUNTIFS(Documents!$B:$B,A59,Documents!$J:$J,"&gt;0")</f>
        <v>2</v>
      </c>
      <c r="N59" s="3"/>
    </row>
    <row r="60" customFormat="false" ht="15" hidden="false" customHeight="false" outlineLevel="0" collapsed="false">
      <c r="A60" s="3" t="s">
        <v>428</v>
      </c>
      <c r="B60" s="3" t="s">
        <v>410</v>
      </c>
      <c r="C60" s="3" t="s">
        <v>411</v>
      </c>
      <c r="D60" s="3" t="s">
        <v>299</v>
      </c>
      <c r="E60" s="3" t="s">
        <v>359</v>
      </c>
      <c r="F60" s="3" t="s">
        <v>283</v>
      </c>
      <c r="G60" s="3" t="s">
        <v>284</v>
      </c>
      <c r="H60" s="3"/>
      <c r="I60" s="3" t="s">
        <v>286</v>
      </c>
      <c r="J60" s="3" t="s">
        <v>286</v>
      </c>
      <c r="K60" s="3" t="s">
        <v>422</v>
      </c>
      <c r="L60" s="10" t="n">
        <f aca="false">COUNTIF(Documents!$B:$B,A60)</f>
        <v>2</v>
      </c>
      <c r="M60" s="10" t="n">
        <f aca="false">COUNTIFS(Documents!$B:$B,A60,Documents!$J:$J,"&gt;0")</f>
        <v>2</v>
      </c>
      <c r="N60" s="3"/>
    </row>
    <row r="61" customFormat="false" ht="15" hidden="false" customHeight="false" outlineLevel="0" collapsed="false">
      <c r="A61" s="3" t="s">
        <v>429</v>
      </c>
      <c r="B61" s="3" t="s">
        <v>410</v>
      </c>
      <c r="C61" s="3" t="s">
        <v>411</v>
      </c>
      <c r="D61" s="3" t="s">
        <v>299</v>
      </c>
      <c r="E61" s="3" t="s">
        <v>359</v>
      </c>
      <c r="F61" s="3" t="s">
        <v>283</v>
      </c>
      <c r="G61" s="3" t="s">
        <v>284</v>
      </c>
      <c r="H61" s="3"/>
      <c r="I61" s="3" t="s">
        <v>286</v>
      </c>
      <c r="J61" s="3" t="s">
        <v>286</v>
      </c>
      <c r="K61" s="3" t="s">
        <v>422</v>
      </c>
      <c r="L61" s="10" t="n">
        <f aca="false">COUNTIF(Documents!$B:$B,A61)</f>
        <v>1</v>
      </c>
      <c r="M61" s="10" t="n">
        <f aca="false">COUNTIFS(Documents!$B:$B,A61,Documents!$J:$J,"&gt;0")</f>
        <v>1</v>
      </c>
      <c r="N61" s="3"/>
    </row>
    <row r="62" customFormat="false" ht="15" hidden="false" customHeight="false" outlineLevel="0" collapsed="false">
      <c r="A62" s="3" t="s">
        <v>430</v>
      </c>
      <c r="B62" s="3" t="s">
        <v>410</v>
      </c>
      <c r="C62" s="3" t="s">
        <v>411</v>
      </c>
      <c r="D62" s="3" t="s">
        <v>299</v>
      </c>
      <c r="E62" s="3" t="s">
        <v>334</v>
      </c>
      <c r="F62" s="3" t="s">
        <v>339</v>
      </c>
      <c r="G62" s="3" t="s">
        <v>284</v>
      </c>
      <c r="H62" s="3"/>
      <c r="I62" s="3" t="s">
        <v>286</v>
      </c>
      <c r="J62" s="3" t="s">
        <v>286</v>
      </c>
      <c r="K62" s="3" t="s">
        <v>422</v>
      </c>
      <c r="L62" s="10" t="n">
        <f aca="false">COUNTIF(Documents!$B:$B,A62)</f>
        <v>1</v>
      </c>
      <c r="M62" s="10" t="n">
        <f aca="false">COUNTIFS(Documents!$B:$B,A62,Documents!$J:$J,"&gt;0")</f>
        <v>1</v>
      </c>
      <c r="N62" s="3"/>
    </row>
    <row r="63" customFormat="false" ht="15" hidden="false" customHeight="false" outlineLevel="0" collapsed="false">
      <c r="A63" s="3" t="s">
        <v>431</v>
      </c>
      <c r="B63" s="3" t="s">
        <v>410</v>
      </c>
      <c r="C63" s="3" t="s">
        <v>411</v>
      </c>
      <c r="D63" s="3" t="s">
        <v>372</v>
      </c>
      <c r="E63" s="3" t="s">
        <v>326</v>
      </c>
      <c r="F63" s="3" t="s">
        <v>283</v>
      </c>
      <c r="G63" s="3" t="s">
        <v>432</v>
      </c>
      <c r="H63" s="3"/>
      <c r="I63" s="3" t="s">
        <v>286</v>
      </c>
      <c r="J63" s="3" t="s">
        <v>286</v>
      </c>
      <c r="K63" s="3" t="s">
        <v>422</v>
      </c>
      <c r="L63" s="10" t="n">
        <f aca="false">COUNTIF(Documents!$B:$B,A63)</f>
        <v>3</v>
      </c>
      <c r="M63" s="10" t="n">
        <f aca="false">COUNTIFS(Documents!$B:$B,A63,Documents!$J:$J,"&gt;0")</f>
        <v>3</v>
      </c>
      <c r="N63" s="3"/>
    </row>
    <row r="64" customFormat="false" ht="15" hidden="false" customHeight="false" outlineLevel="0" collapsed="false">
      <c r="A64" s="3" t="s">
        <v>433</v>
      </c>
      <c r="B64" s="3" t="s">
        <v>410</v>
      </c>
      <c r="C64" s="3" t="s">
        <v>411</v>
      </c>
      <c r="D64" s="3" t="s">
        <v>372</v>
      </c>
      <c r="E64" s="3" t="s">
        <v>326</v>
      </c>
      <c r="F64" s="3" t="s">
        <v>283</v>
      </c>
      <c r="G64" s="3" t="s">
        <v>284</v>
      </c>
      <c r="H64" s="3"/>
      <c r="I64" s="3" t="s">
        <v>286</v>
      </c>
      <c r="J64" s="3" t="s">
        <v>286</v>
      </c>
      <c r="K64" s="3" t="s">
        <v>422</v>
      </c>
      <c r="L64" s="10" t="n">
        <f aca="false">COUNTIF(Documents!$B:$B,A64)</f>
        <v>3</v>
      </c>
      <c r="M64" s="10" t="n">
        <f aca="false">COUNTIFS(Documents!$B:$B,A64,Documents!$J:$J,"&gt;0")</f>
        <v>3</v>
      </c>
      <c r="N64" s="3"/>
    </row>
    <row r="65" customFormat="false" ht="35.05" hidden="false" customHeight="false" outlineLevel="0" collapsed="false">
      <c r="A65" s="3" t="s">
        <v>59</v>
      </c>
      <c r="B65" s="3" t="s">
        <v>410</v>
      </c>
      <c r="C65" s="3" t="s">
        <v>411</v>
      </c>
      <c r="D65" s="3" t="s">
        <v>372</v>
      </c>
      <c r="E65" s="3" t="s">
        <v>326</v>
      </c>
      <c r="F65" s="3" t="s">
        <v>283</v>
      </c>
      <c r="G65" s="3" t="s">
        <v>434</v>
      </c>
      <c r="H65" s="3"/>
      <c r="I65" s="3" t="s">
        <v>286</v>
      </c>
      <c r="J65" s="3" t="s">
        <v>286</v>
      </c>
      <c r="K65" s="3" t="s">
        <v>422</v>
      </c>
      <c r="L65" s="10" t="n">
        <f aca="false">COUNTIF(Documents!$B:$B,A65)</f>
        <v>3</v>
      </c>
      <c r="M65" s="10" t="n">
        <f aca="false">COUNTIFS(Documents!$B:$B,A65,Documents!$J:$J,"&gt;0")</f>
        <v>3</v>
      </c>
      <c r="N65" s="3"/>
    </row>
    <row r="66" customFormat="false" ht="15" hidden="false" customHeight="false" outlineLevel="0" collapsed="false">
      <c r="A66" s="3" t="s">
        <v>435</v>
      </c>
      <c r="B66" s="3" t="s">
        <v>410</v>
      </c>
      <c r="C66" s="3" t="s">
        <v>411</v>
      </c>
      <c r="D66" s="3" t="s">
        <v>372</v>
      </c>
      <c r="E66" s="3" t="s">
        <v>326</v>
      </c>
      <c r="F66" s="3" t="s">
        <v>283</v>
      </c>
      <c r="G66" s="3" t="s">
        <v>436</v>
      </c>
      <c r="H66" s="3"/>
      <c r="I66" s="3" t="s">
        <v>286</v>
      </c>
      <c r="J66" s="3" t="s">
        <v>286</v>
      </c>
      <c r="K66" s="3" t="s">
        <v>422</v>
      </c>
      <c r="L66" s="10" t="n">
        <f aca="false">COUNTIF(Documents!$B:$B,A66)</f>
        <v>2</v>
      </c>
      <c r="M66" s="10" t="n">
        <f aca="false">COUNTIFS(Documents!$B:$B,A66,Documents!$J:$J,"&gt;0")</f>
        <v>2</v>
      </c>
      <c r="N66" s="3"/>
    </row>
    <row r="67" customFormat="false" ht="15" hidden="false" customHeight="false" outlineLevel="0" collapsed="false">
      <c r="A67" s="3" t="s">
        <v>437</v>
      </c>
      <c r="B67" s="3" t="s">
        <v>410</v>
      </c>
      <c r="C67" s="3" t="s">
        <v>411</v>
      </c>
      <c r="D67" s="3" t="s">
        <v>438</v>
      </c>
      <c r="E67" s="3" t="s">
        <v>294</v>
      </c>
      <c r="F67" s="3" t="s">
        <v>439</v>
      </c>
      <c r="G67" s="3" t="s">
        <v>440</v>
      </c>
      <c r="H67" s="3"/>
      <c r="I67" s="3" t="s">
        <v>286</v>
      </c>
      <c r="J67" s="3" t="s">
        <v>286</v>
      </c>
      <c r="K67" s="3" t="s">
        <v>422</v>
      </c>
      <c r="L67" s="10" t="n">
        <f aca="false">COUNTIF(Documents!$B:$B,A67)</f>
        <v>2</v>
      </c>
      <c r="M67" s="10" t="n">
        <f aca="false">COUNTIFS(Documents!$B:$B,A67,Documents!$J:$J,"&gt;0")</f>
        <v>2</v>
      </c>
      <c r="N67" s="3" t="s">
        <v>441</v>
      </c>
    </row>
    <row r="68" customFormat="false" ht="15" hidden="false" customHeight="false" outlineLevel="0" collapsed="false">
      <c r="A68" s="3" t="s">
        <v>442</v>
      </c>
      <c r="B68" s="3" t="s">
        <v>410</v>
      </c>
      <c r="C68" s="3" t="s">
        <v>411</v>
      </c>
      <c r="D68" s="3" t="s">
        <v>443</v>
      </c>
      <c r="E68" s="3" t="s">
        <v>359</v>
      </c>
      <c r="F68" s="3" t="s">
        <v>444</v>
      </c>
      <c r="G68" s="3" t="s">
        <v>284</v>
      </c>
      <c r="H68" s="3"/>
      <c r="I68" s="3" t="s">
        <v>286</v>
      </c>
      <c r="J68" s="3" t="s">
        <v>301</v>
      </c>
      <c r="K68" s="3" t="s">
        <v>422</v>
      </c>
      <c r="L68" s="10" t="n">
        <f aca="false">COUNTIF(Documents!$B:$B,A68)</f>
        <v>1</v>
      </c>
      <c r="M68" s="10" t="n">
        <f aca="false">COUNTIFS(Documents!$B:$B,A68,Documents!$J:$J,"&gt;0")</f>
        <v>1</v>
      </c>
      <c r="N68" s="3"/>
    </row>
    <row r="69" customFormat="false" ht="15" hidden="false" customHeight="false" outlineLevel="0" collapsed="false">
      <c r="A69" s="3" t="s">
        <v>71</v>
      </c>
      <c r="B69" s="3" t="s">
        <v>410</v>
      </c>
      <c r="C69" s="3" t="s">
        <v>411</v>
      </c>
      <c r="D69" s="3" t="s">
        <v>314</v>
      </c>
      <c r="E69" s="3" t="s">
        <v>376</v>
      </c>
      <c r="F69" s="3" t="s">
        <v>283</v>
      </c>
      <c r="G69" s="3" t="s">
        <v>284</v>
      </c>
      <c r="H69" s="3"/>
      <c r="I69" s="3" t="s">
        <v>286</v>
      </c>
      <c r="J69" s="3" t="s">
        <v>286</v>
      </c>
      <c r="K69" s="3" t="s">
        <v>422</v>
      </c>
      <c r="L69" s="10" t="n">
        <f aca="false">COUNTIF(Documents!$B:$B,A69)</f>
        <v>3</v>
      </c>
      <c r="M69" s="10" t="n">
        <f aca="false">COUNTIFS(Documents!$B:$B,A69,Documents!$J:$J,"&gt;0")</f>
        <v>3</v>
      </c>
      <c r="N69" s="3"/>
    </row>
    <row r="70" customFormat="false" ht="15" hidden="false" customHeight="false" outlineLevel="0" collapsed="false">
      <c r="A70" s="3" t="s">
        <v>445</v>
      </c>
      <c r="B70" s="3" t="s">
        <v>410</v>
      </c>
      <c r="C70" s="3" t="s">
        <v>411</v>
      </c>
      <c r="D70" s="3" t="s">
        <v>299</v>
      </c>
      <c r="E70" s="3" t="s">
        <v>446</v>
      </c>
      <c r="F70" s="3" t="s">
        <v>447</v>
      </c>
      <c r="G70" s="3" t="s">
        <v>284</v>
      </c>
      <c r="H70" s="3"/>
      <c r="I70" s="3" t="s">
        <v>286</v>
      </c>
      <c r="J70" s="3" t="s">
        <v>286</v>
      </c>
      <c r="K70" s="3" t="s">
        <v>422</v>
      </c>
      <c r="L70" s="10" t="n">
        <f aca="false">COUNTIF(Documents!$B:$B,A70)</f>
        <v>1</v>
      </c>
      <c r="M70" s="10" t="n">
        <f aca="false">COUNTIFS(Documents!$B:$B,A70,Documents!$J:$J,"&gt;0")</f>
        <v>1</v>
      </c>
      <c r="N70" s="3"/>
    </row>
    <row r="71" customFormat="false" ht="23.85" hidden="false" customHeight="false" outlineLevel="0" collapsed="false">
      <c r="A71" s="3" t="s">
        <v>448</v>
      </c>
      <c r="B71" s="3" t="s">
        <v>410</v>
      </c>
      <c r="C71" s="3" t="s">
        <v>411</v>
      </c>
      <c r="D71" s="3" t="s">
        <v>299</v>
      </c>
      <c r="E71" s="3" t="s">
        <v>449</v>
      </c>
      <c r="F71" s="3" t="s">
        <v>283</v>
      </c>
      <c r="G71" s="3" t="s">
        <v>450</v>
      </c>
      <c r="H71" s="3"/>
      <c r="I71" s="3" t="s">
        <v>286</v>
      </c>
      <c r="J71" s="3" t="s">
        <v>286</v>
      </c>
      <c r="K71" s="3" t="s">
        <v>422</v>
      </c>
      <c r="L71" s="10" t="n">
        <f aca="false">COUNTIF(Documents!$B:$B,A71)</f>
        <v>3</v>
      </c>
      <c r="M71" s="10" t="n">
        <f aca="false">COUNTIFS(Documents!$B:$B,A71,Documents!$J:$J,"&gt;0")</f>
        <v>3</v>
      </c>
      <c r="N71" s="3"/>
    </row>
    <row r="72" customFormat="false" ht="15" hidden="false" customHeight="false" outlineLevel="0" collapsed="false">
      <c r="A72" s="3" t="s">
        <v>451</v>
      </c>
      <c r="B72" s="3" t="s">
        <v>410</v>
      </c>
      <c r="C72" s="3" t="s">
        <v>411</v>
      </c>
      <c r="D72" s="3" t="s">
        <v>299</v>
      </c>
      <c r="E72" s="3" t="s">
        <v>452</v>
      </c>
      <c r="F72" s="3" t="s">
        <v>283</v>
      </c>
      <c r="G72" s="3" t="s">
        <v>453</v>
      </c>
      <c r="H72" s="3"/>
      <c r="I72" s="3" t="s">
        <v>286</v>
      </c>
      <c r="J72" s="3" t="s">
        <v>286</v>
      </c>
      <c r="K72" s="3" t="s">
        <v>422</v>
      </c>
      <c r="L72" s="10" t="n">
        <f aca="false">COUNTIF(Documents!$B:$B,A72)</f>
        <v>3</v>
      </c>
      <c r="M72" s="10" t="n">
        <f aca="false">COUNTIFS(Documents!$B:$B,A72,Documents!$J:$J,"&gt;0")</f>
        <v>3</v>
      </c>
      <c r="N72" s="3"/>
    </row>
    <row r="73" customFormat="false" ht="15" hidden="false" customHeight="false" outlineLevel="0" collapsed="false">
      <c r="A73" s="3" t="s">
        <v>454</v>
      </c>
      <c r="B73" s="3" t="s">
        <v>410</v>
      </c>
      <c r="C73" s="3" t="s">
        <v>411</v>
      </c>
      <c r="D73" s="3" t="s">
        <v>299</v>
      </c>
      <c r="E73" s="3" t="s">
        <v>452</v>
      </c>
      <c r="F73" s="3" t="s">
        <v>283</v>
      </c>
      <c r="G73" s="3" t="s">
        <v>453</v>
      </c>
      <c r="H73" s="3"/>
      <c r="I73" s="3" t="s">
        <v>286</v>
      </c>
      <c r="J73" s="3" t="s">
        <v>286</v>
      </c>
      <c r="K73" s="3" t="s">
        <v>422</v>
      </c>
      <c r="L73" s="10" t="n">
        <f aca="false">COUNTIF(Documents!$B:$B,A73)</f>
        <v>1</v>
      </c>
      <c r="M73" s="10" t="n">
        <f aca="false">COUNTIFS(Documents!$B:$B,A73,Documents!$J:$J,"&gt;0")</f>
        <v>1</v>
      </c>
      <c r="N73" s="3"/>
    </row>
    <row r="74" customFormat="false" ht="15" hidden="false" customHeight="false" outlineLevel="0" collapsed="false">
      <c r="A74" s="3" t="s">
        <v>455</v>
      </c>
      <c r="B74" s="3" t="s">
        <v>410</v>
      </c>
      <c r="C74" s="3" t="s">
        <v>411</v>
      </c>
      <c r="D74" s="3" t="s">
        <v>281</v>
      </c>
      <c r="E74" s="3" t="s">
        <v>294</v>
      </c>
      <c r="F74" s="3" t="s">
        <v>283</v>
      </c>
      <c r="G74" s="3" t="s">
        <v>284</v>
      </c>
      <c r="H74" s="3"/>
      <c r="I74" s="3" t="s">
        <v>286</v>
      </c>
      <c r="J74" s="3" t="s">
        <v>286</v>
      </c>
      <c r="K74" s="3" t="s">
        <v>422</v>
      </c>
      <c r="L74" s="10" t="n">
        <f aca="false">COUNTIF(Documents!$B:$B,A74)</f>
        <v>1</v>
      </c>
      <c r="M74" s="10" t="n">
        <f aca="false">COUNTIFS(Documents!$B:$B,A74,Documents!$J:$J,"&gt;0")</f>
        <v>1</v>
      </c>
      <c r="N74" s="3"/>
    </row>
    <row r="75" customFormat="false" ht="23.85" hidden="false" customHeight="false" outlineLevel="0" collapsed="false">
      <c r="A75" s="3" t="s">
        <v>456</v>
      </c>
      <c r="B75" s="3" t="s">
        <v>410</v>
      </c>
      <c r="C75" s="3" t="s">
        <v>411</v>
      </c>
      <c r="D75" s="3" t="s">
        <v>299</v>
      </c>
      <c r="E75" s="3" t="s">
        <v>294</v>
      </c>
      <c r="F75" s="3" t="s">
        <v>283</v>
      </c>
      <c r="G75" s="3" t="s">
        <v>354</v>
      </c>
      <c r="H75" s="3"/>
      <c r="I75" s="3" t="s">
        <v>286</v>
      </c>
      <c r="J75" s="3" t="s">
        <v>301</v>
      </c>
      <c r="K75" s="3" t="s">
        <v>395</v>
      </c>
      <c r="L75" s="10" t="n">
        <f aca="false">COUNTIF(Documents!$B:$B,A75)</f>
        <v>0</v>
      </c>
      <c r="M75" s="10" t="n">
        <f aca="false">COUNTIFS(Documents!$B:$B,A75,Documents!$J:$J,"&gt;0")</f>
        <v>0</v>
      </c>
      <c r="N75" s="3"/>
    </row>
    <row r="76" customFormat="false" ht="15" hidden="false" customHeight="false" outlineLevel="0" collapsed="false">
      <c r="A76" s="3" t="s">
        <v>457</v>
      </c>
      <c r="B76" s="3" t="s">
        <v>410</v>
      </c>
      <c r="C76" s="3" t="s">
        <v>411</v>
      </c>
      <c r="D76" s="3" t="s">
        <v>299</v>
      </c>
      <c r="E76" s="3" t="s">
        <v>294</v>
      </c>
      <c r="F76" s="3" t="s">
        <v>458</v>
      </c>
      <c r="G76" s="3" t="s">
        <v>354</v>
      </c>
      <c r="H76" s="3"/>
      <c r="I76" s="3" t="s">
        <v>286</v>
      </c>
      <c r="J76" s="3" t="s">
        <v>286</v>
      </c>
      <c r="K76" s="3" t="s">
        <v>422</v>
      </c>
      <c r="L76" s="10" t="n">
        <f aca="false">COUNTIF(Documents!$B:$B,A76)</f>
        <v>1</v>
      </c>
      <c r="M76" s="10" t="n">
        <f aca="false">COUNTIFS(Documents!$B:$B,A76,Documents!$J:$J,"&gt;0")</f>
        <v>1</v>
      </c>
      <c r="N76" s="3"/>
    </row>
    <row r="77" customFormat="false" ht="23.85" hidden="false" customHeight="false" outlineLevel="0" collapsed="false">
      <c r="A77" s="3" t="s">
        <v>459</v>
      </c>
      <c r="B77" s="3" t="s">
        <v>410</v>
      </c>
      <c r="C77" s="3" t="s">
        <v>460</v>
      </c>
      <c r="D77" s="3" t="s">
        <v>461</v>
      </c>
      <c r="E77" s="3" t="s">
        <v>315</v>
      </c>
      <c r="F77" s="3" t="s">
        <v>462</v>
      </c>
      <c r="G77" s="3" t="s">
        <v>284</v>
      </c>
      <c r="H77" s="3"/>
      <c r="I77" s="3" t="s">
        <v>286</v>
      </c>
      <c r="J77" s="3" t="s">
        <v>286</v>
      </c>
      <c r="K77" s="3" t="s">
        <v>422</v>
      </c>
      <c r="L77" s="10" t="n">
        <f aca="false">COUNTIF(Documents!$B:$B,A77)</f>
        <v>2</v>
      </c>
      <c r="M77" s="10" t="n">
        <f aca="false">COUNTIFS(Documents!$B:$B,A77,Documents!$J:$J,"&gt;0")</f>
        <v>2</v>
      </c>
      <c r="N77" s="3"/>
    </row>
    <row r="78" customFormat="false" ht="23.85" hidden="false" customHeight="false" outlineLevel="0" collapsed="false">
      <c r="A78" s="3" t="s">
        <v>463</v>
      </c>
      <c r="B78" s="3" t="s">
        <v>410</v>
      </c>
      <c r="C78" s="3" t="s">
        <v>411</v>
      </c>
      <c r="D78" s="3" t="s">
        <v>299</v>
      </c>
      <c r="E78" s="3" t="s">
        <v>294</v>
      </c>
      <c r="F78" s="3" t="s">
        <v>283</v>
      </c>
      <c r="G78" s="3" t="s">
        <v>464</v>
      </c>
      <c r="H78" s="3"/>
      <c r="I78" s="3" t="s">
        <v>286</v>
      </c>
      <c r="J78" s="3" t="s">
        <v>301</v>
      </c>
      <c r="K78" s="3" t="s">
        <v>395</v>
      </c>
      <c r="L78" s="10" t="n">
        <f aca="false">COUNTIF(Documents!$B:$B,A78)</f>
        <v>0</v>
      </c>
      <c r="M78" s="10" t="n">
        <f aca="false">COUNTIFS(Documents!$B:$B,A78,Documents!$J:$J,"&gt;0")</f>
        <v>0</v>
      </c>
      <c r="N78" s="3"/>
    </row>
    <row r="79" customFormat="false" ht="15" hidden="false" customHeight="false" outlineLevel="0" collapsed="false">
      <c r="A79" s="3" t="s">
        <v>465</v>
      </c>
      <c r="B79" s="3" t="s">
        <v>466</v>
      </c>
      <c r="C79" s="3" t="s">
        <v>467</v>
      </c>
      <c r="D79" s="3" t="s">
        <v>299</v>
      </c>
      <c r="E79" s="3" t="s">
        <v>359</v>
      </c>
      <c r="F79" s="3" t="s">
        <v>283</v>
      </c>
      <c r="G79" s="3" t="s">
        <v>284</v>
      </c>
      <c r="H79" s="3"/>
      <c r="I79" s="3" t="s">
        <v>286</v>
      </c>
      <c r="J79" s="3" t="s">
        <v>286</v>
      </c>
      <c r="K79" s="3" t="s">
        <v>287</v>
      </c>
      <c r="L79" s="10" t="n">
        <f aca="false">COUNTIF(Documents!$B:$B,A79)</f>
        <v>4</v>
      </c>
      <c r="M79" s="10" t="n">
        <f aca="false">COUNTIFS(Documents!$B:$B,A79,Documents!$J:$J,"&gt;0")</f>
        <v>3</v>
      </c>
      <c r="N79" s="3"/>
    </row>
    <row r="80" customFormat="false" ht="23.85" hidden="false" customHeight="false" outlineLevel="0" collapsed="false">
      <c r="A80" s="3" t="s">
        <v>468</v>
      </c>
      <c r="B80" s="3" t="s">
        <v>466</v>
      </c>
      <c r="C80" s="3" t="s">
        <v>469</v>
      </c>
      <c r="D80" s="3" t="s">
        <v>470</v>
      </c>
      <c r="E80" s="3" t="s">
        <v>359</v>
      </c>
      <c r="F80" s="3" t="s">
        <v>471</v>
      </c>
      <c r="G80" s="3" t="s">
        <v>284</v>
      </c>
      <c r="H80" s="3"/>
      <c r="I80" s="3" t="s">
        <v>286</v>
      </c>
      <c r="J80" s="3" t="s">
        <v>286</v>
      </c>
      <c r="K80" s="3" t="s">
        <v>287</v>
      </c>
      <c r="L80" s="10" t="n">
        <f aca="false">COUNTIF(Documents!$B:$B,A80)</f>
        <v>11</v>
      </c>
      <c r="M80" s="10" t="n">
        <f aca="false">COUNTIFS(Documents!$B:$B,A80,Documents!$J:$J,"&gt;0")</f>
        <v>3</v>
      </c>
      <c r="N80" s="3" t="s">
        <v>472</v>
      </c>
    </row>
    <row r="81" customFormat="false" ht="23.85" hidden="false" customHeight="false" outlineLevel="0" collapsed="false">
      <c r="A81" s="3" t="s">
        <v>473</v>
      </c>
      <c r="B81" s="3" t="s">
        <v>466</v>
      </c>
      <c r="C81" s="3" t="s">
        <v>469</v>
      </c>
      <c r="D81" s="3" t="s">
        <v>299</v>
      </c>
      <c r="E81" s="3" t="s">
        <v>359</v>
      </c>
      <c r="F81" s="3" t="s">
        <v>283</v>
      </c>
      <c r="G81" s="3" t="s">
        <v>284</v>
      </c>
      <c r="H81" s="3"/>
      <c r="I81" s="3" t="s">
        <v>286</v>
      </c>
      <c r="J81" s="3" t="s">
        <v>286</v>
      </c>
      <c r="K81" s="3" t="s">
        <v>291</v>
      </c>
      <c r="L81" s="10" t="n">
        <f aca="false">COUNTIF(Documents!$B:$B,A81)</f>
        <v>3</v>
      </c>
      <c r="M81" s="10" t="n">
        <f aca="false">COUNTIFS(Documents!$B:$B,A81,Documents!$J:$J,"&gt;0")</f>
        <v>3</v>
      </c>
      <c r="N81" s="3"/>
    </row>
    <row r="82" customFormat="false" ht="23.85" hidden="false" customHeight="false" outlineLevel="0" collapsed="false">
      <c r="A82" s="3" t="s">
        <v>474</v>
      </c>
      <c r="B82" s="3" t="s">
        <v>466</v>
      </c>
      <c r="C82" s="3" t="s">
        <v>469</v>
      </c>
      <c r="D82" s="3" t="s">
        <v>299</v>
      </c>
      <c r="E82" s="3" t="s">
        <v>359</v>
      </c>
      <c r="F82" s="3" t="s">
        <v>283</v>
      </c>
      <c r="G82" s="3" t="s">
        <v>284</v>
      </c>
      <c r="H82" s="3"/>
      <c r="I82" s="3" t="s">
        <v>286</v>
      </c>
      <c r="J82" s="3" t="s">
        <v>286</v>
      </c>
      <c r="K82" s="3" t="s">
        <v>291</v>
      </c>
      <c r="L82" s="10" t="n">
        <f aca="false">COUNTIF(Documents!$B:$B,A82)</f>
        <v>2</v>
      </c>
      <c r="M82" s="10" t="n">
        <f aca="false">COUNTIFS(Documents!$B:$B,A82,Documents!$J:$J,"&gt;0")</f>
        <v>2</v>
      </c>
      <c r="N82" s="3"/>
    </row>
    <row r="83" customFormat="false" ht="15" hidden="false" customHeight="false" outlineLevel="0" collapsed="false">
      <c r="A83" s="3" t="s">
        <v>475</v>
      </c>
      <c r="B83" s="3" t="s">
        <v>466</v>
      </c>
      <c r="C83" s="3" t="s">
        <v>476</v>
      </c>
      <c r="D83" s="3" t="s">
        <v>314</v>
      </c>
      <c r="E83" s="3" t="s">
        <v>359</v>
      </c>
      <c r="F83" s="3" t="s">
        <v>283</v>
      </c>
      <c r="G83" s="3" t="s">
        <v>284</v>
      </c>
      <c r="H83" s="3" t="s">
        <v>311</v>
      </c>
      <c r="I83" s="3" t="s">
        <v>286</v>
      </c>
      <c r="J83" s="3" t="s">
        <v>286</v>
      </c>
      <c r="K83" s="3" t="s">
        <v>287</v>
      </c>
      <c r="L83" s="10" t="n">
        <f aca="false">COUNTIF(Documents!$B:$B,A83)</f>
        <v>2</v>
      </c>
      <c r="M83" s="10" t="n">
        <f aca="false">COUNTIFS(Documents!$B:$B,A83,Documents!$J:$J,"&gt;0")</f>
        <v>2</v>
      </c>
      <c r="N83" s="3"/>
    </row>
    <row r="84" customFormat="false" ht="15" hidden="false" customHeight="false" outlineLevel="0" collapsed="false">
      <c r="A84" s="3" t="s">
        <v>477</v>
      </c>
      <c r="B84" s="3" t="s">
        <v>466</v>
      </c>
      <c r="C84" s="3" t="s">
        <v>476</v>
      </c>
      <c r="D84" s="3" t="s">
        <v>314</v>
      </c>
      <c r="E84" s="3" t="s">
        <v>359</v>
      </c>
      <c r="F84" s="3" t="s">
        <v>283</v>
      </c>
      <c r="G84" s="3" t="s">
        <v>284</v>
      </c>
      <c r="H84" s="3" t="s">
        <v>311</v>
      </c>
      <c r="I84" s="3" t="s">
        <v>286</v>
      </c>
      <c r="J84" s="3" t="s">
        <v>286</v>
      </c>
      <c r="K84" s="3" t="s">
        <v>287</v>
      </c>
      <c r="L84" s="10" t="n">
        <f aca="false">COUNTIF(Documents!$B:$B,A84)</f>
        <v>7</v>
      </c>
      <c r="M84" s="10" t="n">
        <f aca="false">COUNTIFS(Documents!$B:$B,A84,Documents!$J:$J,"&gt;0")</f>
        <v>3</v>
      </c>
      <c r="N84" s="3"/>
    </row>
    <row r="85" customFormat="false" ht="15" hidden="false" customHeight="false" outlineLevel="0" collapsed="false">
      <c r="A85" s="3" t="s">
        <v>478</v>
      </c>
      <c r="B85" s="3" t="s">
        <v>466</v>
      </c>
      <c r="C85" s="3" t="s">
        <v>476</v>
      </c>
      <c r="D85" s="3" t="s">
        <v>479</v>
      </c>
      <c r="E85" s="3" t="s">
        <v>359</v>
      </c>
      <c r="F85" s="3" t="s">
        <v>480</v>
      </c>
      <c r="G85" s="3" t="s">
        <v>284</v>
      </c>
      <c r="H85" s="3"/>
      <c r="I85" s="3" t="s">
        <v>286</v>
      </c>
      <c r="J85" s="3" t="s">
        <v>301</v>
      </c>
      <c r="K85" s="3" t="s">
        <v>422</v>
      </c>
      <c r="L85" s="10" t="n">
        <f aca="false">COUNTIF(Documents!$B:$B,A85)</f>
        <v>1</v>
      </c>
      <c r="M85" s="10" t="n">
        <f aca="false">COUNTIFS(Documents!$B:$B,A85,Documents!$J:$J,"&gt;0")</f>
        <v>1</v>
      </c>
      <c r="N85" s="3"/>
    </row>
    <row r="86" customFormat="false" ht="23.85" hidden="false" customHeight="false" outlineLevel="0" collapsed="false">
      <c r="A86" s="3" t="s">
        <v>481</v>
      </c>
      <c r="B86" s="3" t="s">
        <v>466</v>
      </c>
      <c r="C86" s="3" t="s">
        <v>482</v>
      </c>
      <c r="D86" s="3" t="s">
        <v>299</v>
      </c>
      <c r="E86" s="3" t="s">
        <v>294</v>
      </c>
      <c r="F86" s="3" t="s">
        <v>283</v>
      </c>
      <c r="G86" s="3" t="s">
        <v>483</v>
      </c>
      <c r="H86" s="3"/>
      <c r="I86" s="3" t="s">
        <v>286</v>
      </c>
      <c r="J86" s="3" t="s">
        <v>286</v>
      </c>
      <c r="K86" s="3" t="s">
        <v>395</v>
      </c>
      <c r="L86" s="10" t="n">
        <f aca="false">COUNTIF(Documents!$B:$B,A86)</f>
        <v>0</v>
      </c>
      <c r="M86" s="10" t="n">
        <f aca="false">COUNTIFS(Documents!$B:$B,A86,Documents!$J:$J,"&gt;0")</f>
        <v>0</v>
      </c>
      <c r="N86" s="3"/>
    </row>
    <row r="87" customFormat="false" ht="15" hidden="false" customHeight="false" outlineLevel="0" collapsed="false">
      <c r="A87" s="3" t="s">
        <v>484</v>
      </c>
      <c r="B87" s="3" t="s">
        <v>466</v>
      </c>
      <c r="C87" s="3" t="s">
        <v>482</v>
      </c>
      <c r="D87" s="3" t="s">
        <v>299</v>
      </c>
      <c r="E87" s="3" t="s">
        <v>294</v>
      </c>
      <c r="F87" s="3" t="s">
        <v>283</v>
      </c>
      <c r="G87" s="3" t="s">
        <v>483</v>
      </c>
      <c r="H87" s="3"/>
      <c r="I87" s="3" t="s">
        <v>286</v>
      </c>
      <c r="J87" s="3" t="s">
        <v>286</v>
      </c>
      <c r="K87" s="3" t="s">
        <v>422</v>
      </c>
      <c r="L87" s="10" t="n">
        <f aca="false">COUNTIF(Documents!$B:$B,A87)</f>
        <v>3</v>
      </c>
      <c r="M87" s="10" t="n">
        <f aca="false">COUNTIFS(Documents!$B:$B,A87,Documents!$J:$J,"&gt;0")</f>
        <v>3</v>
      </c>
      <c r="N87" s="3"/>
    </row>
    <row r="88" customFormat="false" ht="15" hidden="false" customHeight="false" outlineLevel="0" collapsed="false">
      <c r="A88" s="3" t="s">
        <v>485</v>
      </c>
      <c r="B88" s="3" t="s">
        <v>466</v>
      </c>
      <c r="C88" s="3" t="s">
        <v>482</v>
      </c>
      <c r="D88" s="3" t="s">
        <v>299</v>
      </c>
      <c r="E88" s="3" t="s">
        <v>315</v>
      </c>
      <c r="F88" s="3" t="s">
        <v>283</v>
      </c>
      <c r="G88" s="3" t="s">
        <v>483</v>
      </c>
      <c r="H88" s="3"/>
      <c r="I88" s="3" t="s">
        <v>286</v>
      </c>
      <c r="J88" s="3" t="s">
        <v>286</v>
      </c>
      <c r="K88" s="3" t="s">
        <v>422</v>
      </c>
      <c r="L88" s="10" t="n">
        <f aca="false">COUNTIF(Documents!$B:$B,A88)</f>
        <v>2</v>
      </c>
      <c r="M88" s="10" t="n">
        <f aca="false">COUNTIFS(Documents!$B:$B,A88,Documents!$J:$J,"&gt;0")</f>
        <v>2</v>
      </c>
      <c r="N88" s="3"/>
    </row>
    <row r="89" customFormat="false" ht="15" hidden="false" customHeight="false" outlineLevel="0" collapsed="false">
      <c r="A89" s="3" t="s">
        <v>486</v>
      </c>
      <c r="B89" s="3" t="s">
        <v>487</v>
      </c>
      <c r="C89" s="3" t="s">
        <v>488</v>
      </c>
      <c r="D89" s="3" t="s">
        <v>281</v>
      </c>
      <c r="E89" s="3" t="s">
        <v>489</v>
      </c>
      <c r="F89" s="3" t="s">
        <v>283</v>
      </c>
      <c r="G89" s="3" t="s">
        <v>284</v>
      </c>
      <c r="H89" s="3" t="s">
        <v>413</v>
      </c>
      <c r="I89" s="3" t="s">
        <v>286</v>
      </c>
      <c r="J89" s="3" t="s">
        <v>286</v>
      </c>
      <c r="K89" s="3" t="s">
        <v>287</v>
      </c>
      <c r="L89" s="10" t="n">
        <f aca="false">COUNTIF(Documents!$B:$B,A89)</f>
        <v>2</v>
      </c>
      <c r="M89" s="10" t="n">
        <f aca="false">COUNTIFS(Documents!$B:$B,A89,Documents!$J:$J,"&gt;0")</f>
        <v>2</v>
      </c>
      <c r="N89" s="3"/>
    </row>
    <row r="90" customFormat="false" ht="57.45" hidden="false" customHeight="false" outlineLevel="0" collapsed="false">
      <c r="A90" s="3" t="s">
        <v>490</v>
      </c>
      <c r="B90" s="3" t="s">
        <v>487</v>
      </c>
      <c r="C90" s="3" t="s">
        <v>488</v>
      </c>
      <c r="D90" s="3" t="s">
        <v>491</v>
      </c>
      <c r="E90" s="3" t="s">
        <v>359</v>
      </c>
      <c r="F90" s="3" t="s">
        <v>492</v>
      </c>
      <c r="G90" s="3" t="s">
        <v>493</v>
      </c>
      <c r="H90" s="3"/>
      <c r="I90" s="3" t="s">
        <v>286</v>
      </c>
      <c r="J90" s="3" t="s">
        <v>286</v>
      </c>
      <c r="K90" s="3" t="s">
        <v>422</v>
      </c>
      <c r="L90" s="10" t="n">
        <f aca="false">COUNTIF(Documents!$B:$B,A90)</f>
        <v>4</v>
      </c>
      <c r="M90" s="10" t="n">
        <f aca="false">COUNTIFS(Documents!$B:$B,A90,Documents!$J:$J,"&gt;0")</f>
        <v>3</v>
      </c>
      <c r="N90" s="3"/>
    </row>
    <row r="91" customFormat="false" ht="15" hidden="false" customHeight="false" outlineLevel="0" collapsed="false">
      <c r="A91" s="3" t="s">
        <v>494</v>
      </c>
      <c r="B91" s="3" t="s">
        <v>487</v>
      </c>
      <c r="C91" s="3" t="s">
        <v>488</v>
      </c>
      <c r="D91" s="3" t="s">
        <v>495</v>
      </c>
      <c r="E91" s="3" t="s">
        <v>489</v>
      </c>
      <c r="F91" s="3" t="s">
        <v>495</v>
      </c>
      <c r="G91" s="3" t="s">
        <v>284</v>
      </c>
      <c r="H91" s="3"/>
      <c r="I91" s="3" t="s">
        <v>286</v>
      </c>
      <c r="J91" s="3" t="s">
        <v>286</v>
      </c>
      <c r="K91" s="3" t="s">
        <v>422</v>
      </c>
      <c r="L91" s="10" t="n">
        <f aca="false">COUNTIF(Documents!$B:$B,A91)</f>
        <v>3</v>
      </c>
      <c r="M91" s="10" t="n">
        <f aca="false">COUNTIFS(Documents!$B:$B,A91,Documents!$J:$J,"&gt;0")</f>
        <v>3</v>
      </c>
      <c r="N91" s="3"/>
    </row>
    <row r="92" customFormat="false" ht="35.05" hidden="false" customHeight="false" outlineLevel="0" collapsed="false">
      <c r="A92" s="3" t="s">
        <v>496</v>
      </c>
      <c r="B92" s="3" t="s">
        <v>487</v>
      </c>
      <c r="C92" s="3" t="s">
        <v>488</v>
      </c>
      <c r="D92" s="3" t="s">
        <v>497</v>
      </c>
      <c r="E92" s="3" t="s">
        <v>294</v>
      </c>
      <c r="F92" s="3" t="s">
        <v>283</v>
      </c>
      <c r="G92" s="3" t="s">
        <v>498</v>
      </c>
      <c r="H92" s="3" t="s">
        <v>499</v>
      </c>
      <c r="I92" s="3" t="s">
        <v>286</v>
      </c>
      <c r="J92" s="3" t="s">
        <v>286</v>
      </c>
      <c r="K92" s="3" t="s">
        <v>422</v>
      </c>
      <c r="L92" s="10" t="n">
        <f aca="false">COUNTIF(Documents!$B:$B,A92)</f>
        <v>3</v>
      </c>
      <c r="M92" s="10" t="n">
        <f aca="false">COUNTIFS(Documents!$B:$B,A92,Documents!$J:$J,"&gt;0")</f>
        <v>3</v>
      </c>
      <c r="N92" s="3"/>
    </row>
    <row r="93" customFormat="false" ht="15" hidden="false" customHeight="false" outlineLevel="0" collapsed="false">
      <c r="A93" s="3" t="s">
        <v>157</v>
      </c>
      <c r="B93" s="3" t="s">
        <v>487</v>
      </c>
      <c r="C93" s="3" t="s">
        <v>488</v>
      </c>
      <c r="D93" s="3" t="s">
        <v>497</v>
      </c>
      <c r="E93" s="3" t="s">
        <v>294</v>
      </c>
      <c r="F93" s="3" t="s">
        <v>283</v>
      </c>
      <c r="G93" s="3" t="s">
        <v>284</v>
      </c>
      <c r="H93" s="3"/>
      <c r="I93" s="3" t="s">
        <v>286</v>
      </c>
      <c r="J93" s="3" t="s">
        <v>286</v>
      </c>
      <c r="K93" s="3" t="s">
        <v>422</v>
      </c>
      <c r="L93" s="10" t="n">
        <f aca="false">COUNTIF(Documents!$B:$B,A93)</f>
        <v>2</v>
      </c>
      <c r="M93" s="10" t="n">
        <f aca="false">COUNTIFS(Documents!$B:$B,A93,Documents!$J:$J,"&gt;0")</f>
        <v>2</v>
      </c>
      <c r="N93" s="3"/>
    </row>
    <row r="94" customFormat="false" ht="15" hidden="false" customHeight="false" outlineLevel="0" collapsed="false">
      <c r="A94" s="3" t="s">
        <v>500</v>
      </c>
      <c r="B94" s="3" t="s">
        <v>487</v>
      </c>
      <c r="C94" s="3" t="s">
        <v>488</v>
      </c>
      <c r="D94" s="3" t="s">
        <v>497</v>
      </c>
      <c r="E94" s="3" t="s">
        <v>501</v>
      </c>
      <c r="F94" s="3" t="s">
        <v>283</v>
      </c>
      <c r="G94" s="3" t="s">
        <v>284</v>
      </c>
      <c r="H94" s="3"/>
      <c r="I94" s="3" t="s">
        <v>286</v>
      </c>
      <c r="J94" s="3" t="s">
        <v>286</v>
      </c>
      <c r="K94" s="3" t="s">
        <v>422</v>
      </c>
      <c r="L94" s="10" t="n">
        <f aca="false">COUNTIF(Documents!$B:$B,A94)</f>
        <v>2</v>
      </c>
      <c r="M94" s="10" t="n">
        <f aca="false">COUNTIFS(Documents!$B:$B,A94,Documents!$J:$J,"&gt;0")</f>
        <v>2</v>
      </c>
      <c r="N94" s="3"/>
    </row>
    <row r="95" customFormat="false" ht="15" hidden="false" customHeight="false" outlineLevel="0" collapsed="false">
      <c r="A95" s="3" t="s">
        <v>502</v>
      </c>
      <c r="B95" s="3" t="s">
        <v>487</v>
      </c>
      <c r="C95" s="3" t="s">
        <v>488</v>
      </c>
      <c r="D95" s="3" t="s">
        <v>299</v>
      </c>
      <c r="E95" s="3" t="s">
        <v>501</v>
      </c>
      <c r="F95" s="3" t="s">
        <v>283</v>
      </c>
      <c r="G95" s="3" t="s">
        <v>284</v>
      </c>
      <c r="H95" s="3"/>
      <c r="I95" s="3" t="s">
        <v>286</v>
      </c>
      <c r="J95" s="3" t="s">
        <v>301</v>
      </c>
      <c r="K95" s="3" t="s">
        <v>422</v>
      </c>
      <c r="L95" s="10" t="n">
        <f aca="false">COUNTIF(Documents!$B:$B,A95)</f>
        <v>2</v>
      </c>
      <c r="M95" s="10" t="n">
        <f aca="false">COUNTIFS(Documents!$B:$B,A95,Documents!$J:$J,"&gt;0")</f>
        <v>2</v>
      </c>
      <c r="N95" s="3"/>
    </row>
    <row r="96" customFormat="false" ht="15" hidden="false" customHeight="false" outlineLevel="0" collapsed="false">
      <c r="A96" s="3" t="s">
        <v>503</v>
      </c>
      <c r="B96" s="3" t="s">
        <v>487</v>
      </c>
      <c r="C96" s="3" t="s">
        <v>488</v>
      </c>
      <c r="D96" s="3" t="s">
        <v>299</v>
      </c>
      <c r="E96" s="3" t="s">
        <v>501</v>
      </c>
      <c r="F96" s="3" t="s">
        <v>283</v>
      </c>
      <c r="G96" s="3" t="s">
        <v>284</v>
      </c>
      <c r="H96" s="3"/>
      <c r="I96" s="3" t="s">
        <v>286</v>
      </c>
      <c r="J96" s="3" t="s">
        <v>286</v>
      </c>
      <c r="K96" s="3" t="s">
        <v>422</v>
      </c>
      <c r="L96" s="10" t="n">
        <f aca="false">COUNTIF(Documents!$B:$B,A96)</f>
        <v>2</v>
      </c>
      <c r="M96" s="10" t="n">
        <f aca="false">COUNTIFS(Documents!$B:$B,A96,Documents!$J:$J,"&gt;0")</f>
        <v>2</v>
      </c>
      <c r="N96" s="3"/>
    </row>
    <row r="97" customFormat="false" ht="15" hidden="false" customHeight="false" outlineLevel="0" collapsed="false">
      <c r="A97" s="3" t="s">
        <v>504</v>
      </c>
      <c r="B97" s="3" t="s">
        <v>487</v>
      </c>
      <c r="C97" s="3" t="s">
        <v>488</v>
      </c>
      <c r="D97" s="3" t="s">
        <v>299</v>
      </c>
      <c r="E97" s="3" t="s">
        <v>294</v>
      </c>
      <c r="F97" s="3" t="s">
        <v>283</v>
      </c>
      <c r="G97" s="3" t="s">
        <v>284</v>
      </c>
      <c r="H97" s="3"/>
      <c r="I97" s="3" t="s">
        <v>286</v>
      </c>
      <c r="J97" s="3" t="s">
        <v>301</v>
      </c>
      <c r="K97" s="3" t="s">
        <v>422</v>
      </c>
      <c r="L97" s="10" t="n">
        <f aca="false">COUNTIF(Documents!$B:$B,A97)</f>
        <v>3</v>
      </c>
      <c r="M97" s="10" t="n">
        <f aca="false">COUNTIFS(Documents!$B:$B,A97,Documents!$J:$J,"&gt;0")</f>
        <v>3</v>
      </c>
      <c r="N97" s="3"/>
    </row>
    <row r="98" customFormat="false" ht="15" hidden="false" customHeight="false" outlineLevel="0" collapsed="false">
      <c r="A98" s="3" t="s">
        <v>505</v>
      </c>
      <c r="B98" s="3" t="s">
        <v>487</v>
      </c>
      <c r="C98" s="3" t="s">
        <v>488</v>
      </c>
      <c r="D98" s="3" t="s">
        <v>299</v>
      </c>
      <c r="E98" s="3" t="s">
        <v>315</v>
      </c>
      <c r="F98" s="3" t="s">
        <v>283</v>
      </c>
      <c r="G98" s="3" t="s">
        <v>300</v>
      </c>
      <c r="H98" s="3"/>
      <c r="I98" s="3" t="s">
        <v>286</v>
      </c>
      <c r="J98" s="3" t="s">
        <v>286</v>
      </c>
      <c r="K98" s="3" t="s">
        <v>422</v>
      </c>
      <c r="L98" s="10" t="n">
        <f aca="false">COUNTIF(Documents!$B:$B,A98)</f>
        <v>3</v>
      </c>
      <c r="M98" s="10" t="n">
        <f aca="false">COUNTIFS(Documents!$B:$B,A98,Documents!$J:$J,"&gt;0")</f>
        <v>3</v>
      </c>
      <c r="N98" s="3"/>
    </row>
    <row r="99" customFormat="false" ht="15" hidden="false" customHeight="false" outlineLevel="0" collapsed="false">
      <c r="A99" s="3" t="s">
        <v>506</v>
      </c>
      <c r="B99" s="3" t="s">
        <v>487</v>
      </c>
      <c r="C99" s="3" t="s">
        <v>488</v>
      </c>
      <c r="D99" s="3" t="s">
        <v>299</v>
      </c>
      <c r="E99" s="3" t="s">
        <v>359</v>
      </c>
      <c r="F99" s="3" t="s">
        <v>283</v>
      </c>
      <c r="G99" s="3" t="s">
        <v>284</v>
      </c>
      <c r="H99" s="3"/>
      <c r="I99" s="3" t="s">
        <v>286</v>
      </c>
      <c r="J99" s="3" t="s">
        <v>301</v>
      </c>
      <c r="K99" s="3" t="s">
        <v>422</v>
      </c>
      <c r="L99" s="10" t="n">
        <f aca="false">COUNTIF(Documents!$B:$B,A99)</f>
        <v>1</v>
      </c>
      <c r="M99" s="10" t="n">
        <f aca="false">COUNTIFS(Documents!$B:$B,A99,Documents!$J:$J,"&gt;0")</f>
        <v>1</v>
      </c>
      <c r="N99" s="3"/>
    </row>
    <row r="100" customFormat="false" ht="15" hidden="false" customHeight="false" outlineLevel="0" collapsed="false">
      <c r="A100" s="3" t="s">
        <v>507</v>
      </c>
      <c r="B100" s="3" t="s">
        <v>487</v>
      </c>
      <c r="C100" s="3" t="s">
        <v>508</v>
      </c>
      <c r="D100" s="3" t="s">
        <v>299</v>
      </c>
      <c r="E100" s="3" t="s">
        <v>501</v>
      </c>
      <c r="F100" s="3" t="s">
        <v>509</v>
      </c>
      <c r="G100" s="3" t="s">
        <v>510</v>
      </c>
      <c r="H100" s="3"/>
      <c r="I100" s="3" t="s">
        <v>286</v>
      </c>
      <c r="J100" s="3" t="s">
        <v>286</v>
      </c>
      <c r="K100" s="3" t="s">
        <v>511</v>
      </c>
      <c r="L100" s="10" t="n">
        <f aca="false">COUNTIF(Documents!$B:$B,A100)</f>
        <v>1</v>
      </c>
      <c r="M100" s="10" t="n">
        <f aca="false">COUNTIFS(Documents!$B:$B,A100,Documents!$J:$J,"&gt;0")</f>
        <v>1</v>
      </c>
      <c r="N100" s="3"/>
    </row>
    <row r="101" customFormat="false" ht="15" hidden="false" customHeight="false" outlineLevel="0" collapsed="false">
      <c r="A101" s="3" t="s">
        <v>512</v>
      </c>
      <c r="B101" s="3" t="s">
        <v>487</v>
      </c>
      <c r="C101" s="3" t="s">
        <v>508</v>
      </c>
      <c r="D101" s="3" t="s">
        <v>299</v>
      </c>
      <c r="E101" s="3" t="s">
        <v>501</v>
      </c>
      <c r="F101" s="3" t="s">
        <v>509</v>
      </c>
      <c r="G101" s="3" t="s">
        <v>510</v>
      </c>
      <c r="H101" s="3"/>
      <c r="I101" s="3" t="s">
        <v>286</v>
      </c>
      <c r="J101" s="3" t="s">
        <v>286</v>
      </c>
      <c r="K101" s="3" t="s">
        <v>511</v>
      </c>
      <c r="L101" s="10" t="n">
        <f aca="false">COUNTIF(Documents!$B:$B,A101)</f>
        <v>1</v>
      </c>
      <c r="M101" s="10" t="n">
        <f aca="false">COUNTIFS(Documents!$B:$B,A101,Documents!$J:$J,"&gt;0")</f>
        <v>1</v>
      </c>
      <c r="N101" s="3"/>
    </row>
    <row r="102" customFormat="false" ht="15" hidden="false" customHeight="false" outlineLevel="0" collapsed="false">
      <c r="A102" s="3" t="s">
        <v>513</v>
      </c>
      <c r="B102" s="3" t="s">
        <v>487</v>
      </c>
      <c r="C102" s="3" t="s">
        <v>508</v>
      </c>
      <c r="D102" s="3" t="s">
        <v>299</v>
      </c>
      <c r="E102" s="3" t="s">
        <v>501</v>
      </c>
      <c r="F102" s="3" t="s">
        <v>514</v>
      </c>
      <c r="G102" s="3" t="s">
        <v>515</v>
      </c>
      <c r="H102" s="3"/>
      <c r="I102" s="3" t="s">
        <v>286</v>
      </c>
      <c r="J102" s="3" t="s">
        <v>286</v>
      </c>
      <c r="K102" s="3" t="s">
        <v>511</v>
      </c>
      <c r="L102" s="10" t="n">
        <f aca="false">COUNTIF(Documents!$B:$B,A102)</f>
        <v>1</v>
      </c>
      <c r="M102" s="10" t="n">
        <f aca="false">COUNTIFS(Documents!$B:$B,A102,Documents!$J:$J,"&gt;0")</f>
        <v>1</v>
      </c>
      <c r="N102" s="3"/>
    </row>
    <row r="103" customFormat="false" ht="15" hidden="false" customHeight="false" outlineLevel="0" collapsed="false">
      <c r="A103" s="3" t="s">
        <v>516</v>
      </c>
      <c r="B103" s="3" t="s">
        <v>487</v>
      </c>
      <c r="C103" s="3" t="s">
        <v>517</v>
      </c>
      <c r="D103" s="3" t="s">
        <v>299</v>
      </c>
      <c r="E103" s="3" t="s">
        <v>518</v>
      </c>
      <c r="F103" s="3" t="s">
        <v>514</v>
      </c>
      <c r="G103" s="3" t="s">
        <v>515</v>
      </c>
      <c r="H103" s="3"/>
      <c r="I103" s="3" t="s">
        <v>286</v>
      </c>
      <c r="J103" s="3" t="s">
        <v>286</v>
      </c>
      <c r="K103" s="3" t="s">
        <v>511</v>
      </c>
      <c r="L103" s="10" t="n">
        <f aca="false">COUNTIF(Documents!$B:$B,A103)</f>
        <v>2</v>
      </c>
      <c r="M103" s="10" t="n">
        <f aca="false">COUNTIFS(Documents!$B:$B,A103,Documents!$J:$J,"&gt;0")</f>
        <v>2</v>
      </c>
      <c r="N103" s="3"/>
    </row>
    <row r="104" customFormat="false" ht="15" hidden="false" customHeight="false" outlineLevel="0" collapsed="false">
      <c r="A104" s="3" t="s">
        <v>519</v>
      </c>
      <c r="B104" s="3" t="s">
        <v>487</v>
      </c>
      <c r="C104" s="3" t="s">
        <v>517</v>
      </c>
      <c r="D104" s="3" t="s">
        <v>299</v>
      </c>
      <c r="E104" s="3" t="s">
        <v>518</v>
      </c>
      <c r="F104" s="3" t="s">
        <v>514</v>
      </c>
      <c r="G104" s="3" t="s">
        <v>510</v>
      </c>
      <c r="H104" s="3"/>
      <c r="I104" s="3" t="s">
        <v>286</v>
      </c>
      <c r="J104" s="3" t="s">
        <v>286</v>
      </c>
      <c r="K104" s="3" t="s">
        <v>511</v>
      </c>
      <c r="L104" s="10" t="n">
        <f aca="false">COUNTIF(Documents!$B:$B,A104)</f>
        <v>1</v>
      </c>
      <c r="M104" s="10" t="n">
        <f aca="false">COUNTIFS(Documents!$B:$B,A104,Documents!$J:$J,"&gt;0")</f>
        <v>1</v>
      </c>
      <c r="N104" s="3"/>
    </row>
    <row r="105" customFormat="false" ht="15" hidden="false" customHeight="false" outlineLevel="0" collapsed="false">
      <c r="A105" s="3" t="s">
        <v>520</v>
      </c>
      <c r="B105" s="3" t="s">
        <v>487</v>
      </c>
      <c r="C105" s="3" t="s">
        <v>521</v>
      </c>
      <c r="D105" s="3" t="s">
        <v>299</v>
      </c>
      <c r="E105" s="3" t="s">
        <v>359</v>
      </c>
      <c r="F105" s="3" t="s">
        <v>514</v>
      </c>
      <c r="G105" s="3" t="s">
        <v>300</v>
      </c>
      <c r="H105" s="3"/>
      <c r="I105" s="3" t="s">
        <v>286</v>
      </c>
      <c r="J105" s="3" t="s">
        <v>286</v>
      </c>
      <c r="K105" s="3" t="s">
        <v>511</v>
      </c>
      <c r="L105" s="10" t="n">
        <f aca="false">COUNTIF(Documents!$B:$B,A105)</f>
        <v>1</v>
      </c>
      <c r="M105" s="10" t="n">
        <f aca="false">COUNTIFS(Documents!$B:$B,A105,Documents!$J:$J,"&gt;0")</f>
        <v>1</v>
      </c>
      <c r="N105" s="3"/>
    </row>
    <row r="106" customFormat="false" ht="15" hidden="false" customHeight="false" outlineLevel="0" collapsed="false">
      <c r="A106" s="3" t="s">
        <v>522</v>
      </c>
      <c r="B106" s="3" t="s">
        <v>487</v>
      </c>
      <c r="C106" s="3" t="s">
        <v>523</v>
      </c>
      <c r="D106" s="3" t="s">
        <v>299</v>
      </c>
      <c r="E106" s="3" t="s">
        <v>326</v>
      </c>
      <c r="F106" s="3" t="s">
        <v>514</v>
      </c>
      <c r="G106" s="3" t="s">
        <v>515</v>
      </c>
      <c r="H106" s="3"/>
      <c r="I106" s="3" t="s">
        <v>286</v>
      </c>
      <c r="J106" s="3" t="s">
        <v>286</v>
      </c>
      <c r="K106" s="3" t="s">
        <v>511</v>
      </c>
      <c r="L106" s="10" t="n">
        <f aca="false">COUNTIF(Documents!$B:$B,A106)</f>
        <v>2</v>
      </c>
      <c r="M106" s="10" t="n">
        <f aca="false">COUNTIFS(Documents!$B:$B,A106,Documents!$J:$J,"&gt;0")</f>
        <v>2</v>
      </c>
      <c r="N106" s="3"/>
    </row>
    <row r="107" customFormat="false" ht="15" hidden="false" customHeight="false" outlineLevel="0" collapsed="false">
      <c r="A107" s="3" t="s">
        <v>78</v>
      </c>
      <c r="B107" s="3" t="s">
        <v>487</v>
      </c>
      <c r="C107" s="3" t="s">
        <v>508</v>
      </c>
      <c r="D107" s="3" t="s">
        <v>299</v>
      </c>
      <c r="E107" s="3" t="s">
        <v>524</v>
      </c>
      <c r="F107" s="3" t="s">
        <v>514</v>
      </c>
      <c r="G107" s="3" t="s">
        <v>300</v>
      </c>
      <c r="H107" s="3"/>
      <c r="I107" s="3" t="s">
        <v>286</v>
      </c>
      <c r="J107" s="3" t="s">
        <v>286</v>
      </c>
      <c r="K107" s="3" t="s">
        <v>511</v>
      </c>
      <c r="L107" s="10" t="n">
        <f aca="false">COUNTIF(Documents!$B:$B,A107)</f>
        <v>1</v>
      </c>
      <c r="M107" s="10" t="n">
        <f aca="false">COUNTIFS(Documents!$B:$B,A107,Documents!$J:$J,"&gt;0")</f>
        <v>1</v>
      </c>
      <c r="N107" s="3"/>
    </row>
    <row r="108" customFormat="false" ht="23.85" hidden="false" customHeight="false" outlineLevel="0" collapsed="false">
      <c r="A108" s="3" t="s">
        <v>525</v>
      </c>
      <c r="B108" s="3" t="s">
        <v>487</v>
      </c>
      <c r="C108" s="3" t="s">
        <v>526</v>
      </c>
      <c r="D108" s="3" t="s">
        <v>299</v>
      </c>
      <c r="E108" s="3" t="s">
        <v>359</v>
      </c>
      <c r="F108" s="3" t="s">
        <v>514</v>
      </c>
      <c r="G108" s="3" t="s">
        <v>300</v>
      </c>
      <c r="H108" s="3"/>
      <c r="I108" s="3" t="s">
        <v>286</v>
      </c>
      <c r="J108" s="3" t="s">
        <v>301</v>
      </c>
      <c r="K108" s="3" t="s">
        <v>511</v>
      </c>
      <c r="L108" s="10" t="n">
        <f aca="false">COUNTIF(Documents!$B:$B,A108)</f>
        <v>2</v>
      </c>
      <c r="M108" s="10" t="n">
        <f aca="false">COUNTIFS(Documents!$B:$B,A108,Documents!$J:$J,"&gt;0")</f>
        <v>2</v>
      </c>
      <c r="N108" s="3"/>
    </row>
    <row r="109" customFormat="false" ht="23.85" hidden="false" customHeight="false" outlineLevel="0" collapsed="false">
      <c r="A109" s="3" t="s">
        <v>527</v>
      </c>
      <c r="B109" s="3" t="s">
        <v>528</v>
      </c>
      <c r="C109" s="3" t="s">
        <v>529</v>
      </c>
      <c r="D109" s="3" t="s">
        <v>530</v>
      </c>
      <c r="E109" s="3" t="s">
        <v>334</v>
      </c>
      <c r="F109" s="3" t="s">
        <v>444</v>
      </c>
      <c r="G109" s="3" t="s">
        <v>284</v>
      </c>
      <c r="H109" s="3"/>
      <c r="I109" s="3" t="s">
        <v>286</v>
      </c>
      <c r="J109" s="3" t="s">
        <v>286</v>
      </c>
      <c r="K109" s="3" t="s">
        <v>297</v>
      </c>
      <c r="L109" s="10" t="n">
        <f aca="false">COUNTIF(Documents!$B:$B,A109)</f>
        <v>4</v>
      </c>
      <c r="M109" s="10" t="n">
        <f aca="false">COUNTIFS(Documents!$B:$B,A109,Documents!$J:$J,"&gt;0")</f>
        <v>3</v>
      </c>
      <c r="N109" s="3"/>
    </row>
    <row r="110" customFormat="false" ht="23.85" hidden="false" customHeight="false" outlineLevel="0" collapsed="false">
      <c r="A110" s="3" t="s">
        <v>531</v>
      </c>
      <c r="B110" s="3" t="s">
        <v>528</v>
      </c>
      <c r="C110" s="3" t="s">
        <v>532</v>
      </c>
      <c r="D110" s="3" t="s">
        <v>372</v>
      </c>
      <c r="E110" s="3" t="s">
        <v>334</v>
      </c>
      <c r="F110" s="3" t="s">
        <v>283</v>
      </c>
      <c r="G110" s="3" t="s">
        <v>284</v>
      </c>
      <c r="H110" s="3"/>
      <c r="I110" s="3" t="s">
        <v>286</v>
      </c>
      <c r="J110" s="3" t="s">
        <v>286</v>
      </c>
      <c r="K110" s="3" t="s">
        <v>287</v>
      </c>
      <c r="L110" s="10" t="n">
        <f aca="false">COUNTIF(Documents!$B:$B,A110)</f>
        <v>5</v>
      </c>
      <c r="M110" s="10" t="n">
        <f aca="false">COUNTIFS(Documents!$B:$B,A110,Documents!$J:$J,"&gt;0")</f>
        <v>3</v>
      </c>
      <c r="N110" s="3"/>
    </row>
    <row r="111" customFormat="false" ht="15" hidden="false" customHeight="false" outlineLevel="0" collapsed="false">
      <c r="A111" s="3" t="s">
        <v>533</v>
      </c>
      <c r="B111" s="3" t="s">
        <v>528</v>
      </c>
      <c r="C111" s="3" t="s">
        <v>411</v>
      </c>
      <c r="D111" s="3" t="s">
        <v>314</v>
      </c>
      <c r="E111" s="3" t="s">
        <v>334</v>
      </c>
      <c r="F111" s="3" t="s">
        <v>283</v>
      </c>
      <c r="G111" s="3" t="s">
        <v>284</v>
      </c>
      <c r="H111" s="3"/>
      <c r="I111" s="3" t="s">
        <v>286</v>
      </c>
      <c r="J111" s="3" t="s">
        <v>286</v>
      </c>
      <c r="K111" s="3" t="s">
        <v>297</v>
      </c>
      <c r="L111" s="10" t="n">
        <f aca="false">COUNTIF(Documents!$B:$B,A111)</f>
        <v>2</v>
      </c>
      <c r="M111" s="10" t="n">
        <f aca="false">COUNTIFS(Documents!$B:$B,A111,Documents!$J:$J,"&gt;0")</f>
        <v>2</v>
      </c>
      <c r="N111" s="3"/>
    </row>
    <row r="112" customFormat="false" ht="15" hidden="false" customHeight="false" outlineLevel="0" collapsed="false">
      <c r="A112" s="3" t="s">
        <v>534</v>
      </c>
      <c r="B112" s="3" t="s">
        <v>535</v>
      </c>
      <c r="C112" s="3" t="s">
        <v>536</v>
      </c>
      <c r="D112" s="3" t="s">
        <v>444</v>
      </c>
      <c r="E112" s="3" t="s">
        <v>326</v>
      </c>
      <c r="F112" s="3" t="s">
        <v>537</v>
      </c>
      <c r="G112" s="3" t="s">
        <v>284</v>
      </c>
      <c r="H112" s="3"/>
      <c r="I112" s="3" t="s">
        <v>286</v>
      </c>
      <c r="J112" s="3" t="s">
        <v>286</v>
      </c>
      <c r="K112" s="3" t="s">
        <v>511</v>
      </c>
      <c r="L112" s="10" t="n">
        <f aca="false">COUNTIF(Documents!$B:$B,A112)</f>
        <v>1</v>
      </c>
      <c r="M112" s="10" t="n">
        <f aca="false">COUNTIFS(Documents!$B:$B,A112,Documents!$J:$J,"&gt;0")</f>
        <v>1</v>
      </c>
      <c r="N112" s="3"/>
    </row>
    <row r="113" customFormat="false" ht="15" hidden="false" customHeight="false" outlineLevel="0" collapsed="false">
      <c r="A113" s="3" t="s">
        <v>538</v>
      </c>
      <c r="B113" s="3" t="s">
        <v>535</v>
      </c>
      <c r="C113" s="3" t="s">
        <v>536</v>
      </c>
      <c r="D113" s="3" t="s">
        <v>444</v>
      </c>
      <c r="E113" s="3" t="s">
        <v>326</v>
      </c>
      <c r="F113" s="3" t="s">
        <v>537</v>
      </c>
      <c r="G113" s="3" t="s">
        <v>284</v>
      </c>
      <c r="H113" s="3"/>
      <c r="I113" s="3" t="s">
        <v>286</v>
      </c>
      <c r="J113" s="3" t="s">
        <v>286</v>
      </c>
      <c r="K113" s="3" t="s">
        <v>511</v>
      </c>
      <c r="L113" s="10" t="n">
        <f aca="false">COUNTIF(Documents!$B:$B,A113)</f>
        <v>2</v>
      </c>
      <c r="M113" s="10" t="n">
        <f aca="false">COUNTIFS(Documents!$B:$B,A113,Documents!$J:$J,"&gt;0")</f>
        <v>2</v>
      </c>
      <c r="N113" s="3"/>
    </row>
    <row r="114" customFormat="false" ht="15" hidden="false" customHeight="false" outlineLevel="0" collapsed="false">
      <c r="A114" s="3" t="s">
        <v>539</v>
      </c>
      <c r="B114" s="3" t="s">
        <v>535</v>
      </c>
      <c r="C114" s="3" t="s">
        <v>536</v>
      </c>
      <c r="D114" s="3" t="s">
        <v>444</v>
      </c>
      <c r="E114" s="3" t="s">
        <v>359</v>
      </c>
      <c r="F114" s="3" t="s">
        <v>537</v>
      </c>
      <c r="G114" s="3" t="s">
        <v>284</v>
      </c>
      <c r="H114" s="3"/>
      <c r="I114" s="3" t="s">
        <v>286</v>
      </c>
      <c r="J114" s="3" t="s">
        <v>286</v>
      </c>
      <c r="K114" s="3" t="s">
        <v>511</v>
      </c>
      <c r="L114" s="10" t="n">
        <f aca="false">COUNTIF(Documents!$B:$B,A114)</f>
        <v>1</v>
      </c>
      <c r="M114" s="10" t="n">
        <f aca="false">COUNTIFS(Documents!$B:$B,A114,Documents!$J:$J,"&gt;0")</f>
        <v>1</v>
      </c>
      <c r="N114" s="3"/>
    </row>
    <row r="115" customFormat="false" ht="15" hidden="false" customHeight="false" outlineLevel="0" collapsed="false">
      <c r="A115" s="3" t="s">
        <v>540</v>
      </c>
      <c r="B115" s="3" t="s">
        <v>535</v>
      </c>
      <c r="C115" s="3" t="s">
        <v>536</v>
      </c>
      <c r="D115" s="3" t="s">
        <v>444</v>
      </c>
      <c r="E115" s="3" t="s">
        <v>359</v>
      </c>
      <c r="F115" s="3" t="s">
        <v>537</v>
      </c>
      <c r="G115" s="3" t="s">
        <v>284</v>
      </c>
      <c r="H115" s="3"/>
      <c r="I115" s="3" t="s">
        <v>286</v>
      </c>
      <c r="J115" s="3" t="s">
        <v>301</v>
      </c>
      <c r="K115" s="3" t="s">
        <v>511</v>
      </c>
      <c r="L115" s="10" t="n">
        <f aca="false">COUNTIF(Documents!$B:$B,A115)</f>
        <v>1</v>
      </c>
      <c r="M115" s="10" t="n">
        <f aca="false">COUNTIFS(Documents!$B:$B,A115,Documents!$J:$J,"&gt;0")</f>
        <v>1</v>
      </c>
      <c r="N115" s="3"/>
    </row>
    <row r="116" customFormat="false" ht="15" hidden="false" customHeight="false" outlineLevel="0" collapsed="false">
      <c r="A116" s="3" t="s">
        <v>541</v>
      </c>
      <c r="B116" s="3" t="s">
        <v>535</v>
      </c>
      <c r="C116" s="3" t="s">
        <v>536</v>
      </c>
      <c r="D116" s="3" t="s">
        <v>444</v>
      </c>
      <c r="E116" s="3" t="s">
        <v>359</v>
      </c>
      <c r="F116" s="3" t="s">
        <v>537</v>
      </c>
      <c r="G116" s="3" t="s">
        <v>284</v>
      </c>
      <c r="H116" s="3"/>
      <c r="I116" s="3" t="s">
        <v>286</v>
      </c>
      <c r="J116" s="3" t="s">
        <v>301</v>
      </c>
      <c r="K116" s="3" t="s">
        <v>511</v>
      </c>
      <c r="L116" s="10" t="n">
        <f aca="false">COUNTIF(Documents!$B:$B,A116)</f>
        <v>2</v>
      </c>
      <c r="M116" s="10" t="n">
        <f aca="false">COUNTIFS(Documents!$B:$B,A116,Documents!$J:$J,"&gt;0")</f>
        <v>2</v>
      </c>
      <c r="N116" s="3"/>
    </row>
    <row r="117" customFormat="false" ht="15" hidden="false" customHeight="false" outlineLevel="0" collapsed="false">
      <c r="A117" s="3" t="s">
        <v>542</v>
      </c>
      <c r="B117" s="3" t="s">
        <v>535</v>
      </c>
      <c r="C117" s="3" t="s">
        <v>536</v>
      </c>
      <c r="D117" s="3" t="s">
        <v>444</v>
      </c>
      <c r="E117" s="3" t="s">
        <v>294</v>
      </c>
      <c r="F117" s="3" t="s">
        <v>537</v>
      </c>
      <c r="G117" s="3" t="s">
        <v>284</v>
      </c>
      <c r="H117" s="3"/>
      <c r="I117" s="3" t="s">
        <v>286</v>
      </c>
      <c r="J117" s="3" t="s">
        <v>286</v>
      </c>
      <c r="K117" s="3" t="s">
        <v>297</v>
      </c>
      <c r="L117" s="10" t="n">
        <f aca="false">COUNTIF(Documents!$B:$B,A117)</f>
        <v>3</v>
      </c>
      <c r="M117" s="10" t="n">
        <f aca="false">COUNTIFS(Documents!$B:$B,A117,Documents!$J:$J,"&gt;0")</f>
        <v>3</v>
      </c>
      <c r="N117" s="3"/>
    </row>
    <row r="118" customFormat="false" ht="15" hidden="false" customHeight="false" outlineLevel="0" collapsed="false">
      <c r="A118" s="3" t="s">
        <v>543</v>
      </c>
      <c r="B118" s="3" t="s">
        <v>535</v>
      </c>
      <c r="C118" s="3" t="s">
        <v>536</v>
      </c>
      <c r="D118" s="3" t="s">
        <v>544</v>
      </c>
      <c r="E118" s="3" t="s">
        <v>294</v>
      </c>
      <c r="F118" s="3" t="s">
        <v>537</v>
      </c>
      <c r="G118" s="3" t="s">
        <v>284</v>
      </c>
      <c r="H118" s="3"/>
      <c r="I118" s="3" t="s">
        <v>286</v>
      </c>
      <c r="J118" s="3" t="s">
        <v>286</v>
      </c>
      <c r="K118" s="3" t="s">
        <v>511</v>
      </c>
      <c r="L118" s="10" t="n">
        <f aca="false">COUNTIF(Documents!$B:$B,A118)</f>
        <v>1</v>
      </c>
      <c r="M118" s="10" t="n">
        <f aca="false">COUNTIFS(Documents!$B:$B,A118,Documents!$J:$J,"&gt;0")</f>
        <v>1</v>
      </c>
      <c r="N118" s="3"/>
    </row>
    <row r="119" customFormat="false" ht="15" hidden="false" customHeight="false" outlineLevel="0" collapsed="false">
      <c r="A119" s="3" t="s">
        <v>545</v>
      </c>
      <c r="B119" s="3" t="s">
        <v>535</v>
      </c>
      <c r="C119" s="3" t="s">
        <v>536</v>
      </c>
      <c r="D119" s="3" t="s">
        <v>444</v>
      </c>
      <c r="E119" s="3" t="s">
        <v>294</v>
      </c>
      <c r="F119" s="3" t="s">
        <v>537</v>
      </c>
      <c r="G119" s="3" t="s">
        <v>284</v>
      </c>
      <c r="H119" s="3"/>
      <c r="I119" s="3" t="s">
        <v>286</v>
      </c>
      <c r="J119" s="3" t="s">
        <v>286</v>
      </c>
      <c r="K119" s="3" t="s">
        <v>511</v>
      </c>
      <c r="L119" s="10" t="n">
        <f aca="false">COUNTIF(Documents!$B:$B,A119)</f>
        <v>2</v>
      </c>
      <c r="M119" s="10" t="n">
        <f aca="false">COUNTIFS(Documents!$B:$B,A119,Documents!$J:$J,"&gt;0")</f>
        <v>2</v>
      </c>
      <c r="N119" s="3"/>
    </row>
    <row r="120" customFormat="false" ht="23.85" hidden="false" customHeight="false" outlineLevel="0" collapsed="false">
      <c r="A120" s="3" t="s">
        <v>546</v>
      </c>
      <c r="B120" s="3" t="s">
        <v>535</v>
      </c>
      <c r="C120" s="3" t="s">
        <v>536</v>
      </c>
      <c r="D120" s="3" t="s">
        <v>444</v>
      </c>
      <c r="E120" s="3" t="s">
        <v>294</v>
      </c>
      <c r="F120" s="3" t="s">
        <v>537</v>
      </c>
      <c r="G120" s="3" t="s">
        <v>284</v>
      </c>
      <c r="H120" s="3"/>
      <c r="I120" s="3" t="s">
        <v>286</v>
      </c>
      <c r="J120" s="3" t="s">
        <v>286</v>
      </c>
      <c r="K120" s="3" t="s">
        <v>395</v>
      </c>
      <c r="L120" s="10" t="n">
        <f aca="false">COUNTIF(Documents!$B:$B,A120)</f>
        <v>0</v>
      </c>
      <c r="M120" s="10" t="n">
        <f aca="false">COUNTIFS(Documents!$B:$B,A120,Documents!$J:$J,"&gt;0")</f>
        <v>0</v>
      </c>
      <c r="N120" s="3"/>
    </row>
    <row r="121" customFormat="false" ht="15" hidden="false" customHeight="false" outlineLevel="0" collapsed="false">
      <c r="A121" s="3" t="s">
        <v>547</v>
      </c>
      <c r="B121" s="3" t="s">
        <v>535</v>
      </c>
      <c r="C121" s="3" t="s">
        <v>536</v>
      </c>
      <c r="D121" s="3" t="s">
        <v>544</v>
      </c>
      <c r="E121" s="3" t="s">
        <v>315</v>
      </c>
      <c r="F121" s="3" t="s">
        <v>537</v>
      </c>
      <c r="G121" s="3" t="s">
        <v>284</v>
      </c>
      <c r="H121" s="3"/>
      <c r="I121" s="3" t="s">
        <v>286</v>
      </c>
      <c r="J121" s="3" t="s">
        <v>286</v>
      </c>
      <c r="K121" s="3" t="s">
        <v>511</v>
      </c>
      <c r="L121" s="10" t="n">
        <f aca="false">COUNTIF(Documents!$B:$B,A121)</f>
        <v>1</v>
      </c>
      <c r="M121" s="10" t="n">
        <f aca="false">COUNTIFS(Documents!$B:$B,A121,Documents!$J:$J,"&gt;0")</f>
        <v>1</v>
      </c>
      <c r="N121" s="3"/>
    </row>
    <row r="122" customFormat="false" ht="15" hidden="false" customHeight="false" outlineLevel="0" collapsed="false">
      <c r="A122" s="3" t="s">
        <v>548</v>
      </c>
      <c r="B122" s="3" t="s">
        <v>535</v>
      </c>
      <c r="C122" s="3" t="s">
        <v>536</v>
      </c>
      <c r="D122" s="3" t="s">
        <v>444</v>
      </c>
      <c r="E122" s="3" t="s">
        <v>315</v>
      </c>
      <c r="F122" s="3" t="s">
        <v>537</v>
      </c>
      <c r="G122" s="3" t="s">
        <v>284</v>
      </c>
      <c r="H122" s="3"/>
      <c r="I122" s="3" t="s">
        <v>286</v>
      </c>
      <c r="J122" s="3" t="s">
        <v>286</v>
      </c>
      <c r="K122" s="3" t="s">
        <v>511</v>
      </c>
      <c r="L122" s="10" t="n">
        <f aca="false">COUNTIF(Documents!$B:$B,A122)</f>
        <v>1</v>
      </c>
      <c r="M122" s="10" t="n">
        <f aca="false">COUNTIFS(Documents!$B:$B,A122,Documents!$J:$J,"&gt;0")</f>
        <v>1</v>
      </c>
      <c r="N122" s="3"/>
    </row>
    <row r="123" customFormat="false" ht="15" hidden="false" customHeight="false" outlineLevel="0" collapsed="false">
      <c r="A123" s="3" t="s">
        <v>549</v>
      </c>
      <c r="B123" s="3" t="s">
        <v>535</v>
      </c>
      <c r="C123" s="3" t="s">
        <v>536</v>
      </c>
      <c r="D123" s="3" t="s">
        <v>444</v>
      </c>
      <c r="E123" s="3" t="s">
        <v>294</v>
      </c>
      <c r="F123" s="3" t="s">
        <v>537</v>
      </c>
      <c r="G123" s="3" t="s">
        <v>284</v>
      </c>
      <c r="H123" s="3"/>
      <c r="I123" s="3" t="s">
        <v>286</v>
      </c>
      <c r="J123" s="3" t="s">
        <v>286</v>
      </c>
      <c r="K123" s="3" t="s">
        <v>511</v>
      </c>
      <c r="L123" s="10" t="n">
        <f aca="false">COUNTIF(Documents!$B:$B,A123)</f>
        <v>1</v>
      </c>
      <c r="M123" s="10" t="n">
        <f aca="false">COUNTIFS(Documents!$B:$B,A123,Documents!$J:$J,"&gt;0")</f>
        <v>1</v>
      </c>
      <c r="N123" s="3"/>
    </row>
    <row r="124" customFormat="false" ht="15" hidden="false" customHeight="false" outlineLevel="0" collapsed="false">
      <c r="A124" s="3" t="s">
        <v>550</v>
      </c>
      <c r="B124" s="3" t="s">
        <v>535</v>
      </c>
      <c r="C124" s="3" t="s">
        <v>536</v>
      </c>
      <c r="D124" s="3" t="s">
        <v>444</v>
      </c>
      <c r="E124" s="3" t="s">
        <v>294</v>
      </c>
      <c r="F124" s="3" t="s">
        <v>537</v>
      </c>
      <c r="G124" s="3" t="s">
        <v>284</v>
      </c>
      <c r="H124" s="3"/>
      <c r="I124" s="3" t="s">
        <v>286</v>
      </c>
      <c r="J124" s="3" t="s">
        <v>286</v>
      </c>
      <c r="K124" s="3" t="s">
        <v>511</v>
      </c>
      <c r="L124" s="10" t="n">
        <f aca="false">COUNTIF(Documents!$B:$B,A124)</f>
        <v>1</v>
      </c>
      <c r="M124" s="10" t="n">
        <f aca="false">COUNTIFS(Documents!$B:$B,A124,Documents!$J:$J,"&gt;0")</f>
        <v>1</v>
      </c>
      <c r="N124" s="3"/>
    </row>
    <row r="125" customFormat="false" ht="15" hidden="false" customHeight="false" outlineLevel="0" collapsed="false">
      <c r="A125" s="3" t="s">
        <v>551</v>
      </c>
      <c r="B125" s="3" t="s">
        <v>535</v>
      </c>
      <c r="C125" s="3" t="s">
        <v>536</v>
      </c>
      <c r="D125" s="3" t="s">
        <v>552</v>
      </c>
      <c r="E125" s="3" t="s">
        <v>294</v>
      </c>
      <c r="F125" s="3" t="s">
        <v>553</v>
      </c>
      <c r="G125" s="3" t="s">
        <v>284</v>
      </c>
      <c r="H125" s="3"/>
      <c r="I125" s="3" t="s">
        <v>286</v>
      </c>
      <c r="J125" s="3" t="s">
        <v>286</v>
      </c>
      <c r="K125" s="3" t="s">
        <v>511</v>
      </c>
      <c r="L125" s="10" t="n">
        <f aca="false">COUNTIF(Documents!$B:$B,A125)</f>
        <v>1</v>
      </c>
      <c r="M125" s="10" t="n">
        <f aca="false">COUNTIFS(Documents!$B:$B,A125,Documents!$J:$J,"&gt;0")</f>
        <v>1</v>
      </c>
      <c r="N125" s="3"/>
    </row>
    <row r="126" customFormat="false" ht="23.85" hidden="false" customHeight="false" outlineLevel="0" collapsed="false">
      <c r="A126" s="3" t="s">
        <v>554</v>
      </c>
      <c r="B126" s="3" t="s">
        <v>535</v>
      </c>
      <c r="C126" s="3" t="s">
        <v>536</v>
      </c>
      <c r="D126" s="3" t="s">
        <v>444</v>
      </c>
      <c r="E126" s="3" t="s">
        <v>294</v>
      </c>
      <c r="F126" s="3" t="s">
        <v>537</v>
      </c>
      <c r="G126" s="3" t="s">
        <v>284</v>
      </c>
      <c r="H126" s="3"/>
      <c r="I126" s="3" t="s">
        <v>286</v>
      </c>
      <c r="J126" s="3" t="s">
        <v>286</v>
      </c>
      <c r="K126" s="3" t="s">
        <v>395</v>
      </c>
      <c r="L126" s="10" t="n">
        <f aca="false">COUNTIF(Documents!$B:$B,A126)</f>
        <v>0</v>
      </c>
      <c r="M126" s="10" t="n">
        <f aca="false">COUNTIFS(Documents!$B:$B,A126,Documents!$J:$J,"&gt;0")</f>
        <v>0</v>
      </c>
      <c r="N126" s="3"/>
    </row>
    <row r="127" customFormat="false" ht="15" hidden="false" customHeight="false" outlineLevel="0" collapsed="false">
      <c r="A127" s="3" t="s">
        <v>555</v>
      </c>
      <c r="B127" s="3" t="s">
        <v>535</v>
      </c>
      <c r="C127" s="3" t="s">
        <v>536</v>
      </c>
      <c r="D127" s="3" t="s">
        <v>444</v>
      </c>
      <c r="E127" s="3" t="s">
        <v>556</v>
      </c>
      <c r="F127" s="3" t="s">
        <v>537</v>
      </c>
      <c r="G127" s="3" t="s">
        <v>284</v>
      </c>
      <c r="H127" s="3"/>
      <c r="I127" s="3" t="s">
        <v>286</v>
      </c>
      <c r="J127" s="3" t="s">
        <v>286</v>
      </c>
      <c r="K127" s="3" t="s">
        <v>511</v>
      </c>
      <c r="L127" s="10" t="n">
        <f aca="false">COUNTIF(Documents!$B:$B,A127)</f>
        <v>1</v>
      </c>
      <c r="M127" s="10" t="n">
        <f aca="false">COUNTIFS(Documents!$B:$B,A127,Documents!$J:$J,"&gt;0")</f>
        <v>1</v>
      </c>
      <c r="N127" s="3"/>
    </row>
    <row r="128" customFormat="false" ht="15" hidden="false" customHeight="false" outlineLevel="0" collapsed="false">
      <c r="A128" s="3" t="s">
        <v>557</v>
      </c>
      <c r="B128" s="3" t="s">
        <v>535</v>
      </c>
      <c r="C128" s="3" t="s">
        <v>536</v>
      </c>
      <c r="D128" s="3" t="s">
        <v>444</v>
      </c>
      <c r="E128" s="3" t="s">
        <v>359</v>
      </c>
      <c r="F128" s="3" t="s">
        <v>537</v>
      </c>
      <c r="G128" s="3" t="s">
        <v>558</v>
      </c>
      <c r="H128" s="3"/>
      <c r="I128" s="3" t="s">
        <v>286</v>
      </c>
      <c r="J128" s="3" t="s">
        <v>286</v>
      </c>
      <c r="K128" s="3" t="s">
        <v>511</v>
      </c>
      <c r="L128" s="10" t="n">
        <f aca="false">COUNTIF(Documents!$B:$B,A128)</f>
        <v>1</v>
      </c>
      <c r="M128" s="10" t="n">
        <f aca="false">COUNTIFS(Documents!$B:$B,A128,Documents!$J:$J,"&gt;0")</f>
        <v>1</v>
      </c>
      <c r="N128" s="3"/>
    </row>
    <row r="129" customFormat="false" ht="23.85" hidden="false" customHeight="false" outlineLevel="0" collapsed="false">
      <c r="A129" s="3" t="s">
        <v>559</v>
      </c>
      <c r="B129" s="3" t="s">
        <v>560</v>
      </c>
      <c r="C129" s="3" t="s">
        <v>561</v>
      </c>
      <c r="D129" s="3" t="s">
        <v>562</v>
      </c>
      <c r="E129" s="3" t="s">
        <v>563</v>
      </c>
      <c r="F129" s="3" t="s">
        <v>444</v>
      </c>
      <c r="G129" s="3" t="s">
        <v>284</v>
      </c>
      <c r="H129" s="3"/>
      <c r="I129" s="3" t="s">
        <v>286</v>
      </c>
      <c r="J129" s="3" t="s">
        <v>286</v>
      </c>
      <c r="K129" s="3" t="s">
        <v>287</v>
      </c>
      <c r="L129" s="10" t="n">
        <f aca="false">COUNTIF(Documents!$B:$B,A129)</f>
        <v>14</v>
      </c>
      <c r="M129" s="10" t="n">
        <f aca="false">COUNTIFS(Documents!$B:$B,A129,Documents!$J:$J,"&gt;0")</f>
        <v>3</v>
      </c>
      <c r="N129" s="3"/>
    </row>
    <row r="130" customFormat="false" ht="23.85" hidden="false" customHeight="false" outlineLevel="0" collapsed="false">
      <c r="A130" s="3" t="s">
        <v>564</v>
      </c>
      <c r="B130" s="3" t="s">
        <v>560</v>
      </c>
      <c r="C130" s="3" t="s">
        <v>565</v>
      </c>
      <c r="D130" s="3" t="s">
        <v>566</v>
      </c>
      <c r="E130" s="3" t="s">
        <v>294</v>
      </c>
      <c r="F130" s="3" t="s">
        <v>444</v>
      </c>
      <c r="G130" s="3" t="s">
        <v>284</v>
      </c>
      <c r="H130" s="3"/>
      <c r="I130" s="3" t="s">
        <v>286</v>
      </c>
      <c r="J130" s="3" t="s">
        <v>286</v>
      </c>
      <c r="K130" s="3" t="s">
        <v>287</v>
      </c>
      <c r="L130" s="10" t="n">
        <f aca="false">COUNTIF(Documents!$B:$B,A130)</f>
        <v>7</v>
      </c>
      <c r="M130" s="10" t="n">
        <f aca="false">COUNTIFS(Documents!$B:$B,A130,Documents!$J:$J,"&gt;0")</f>
        <v>3</v>
      </c>
      <c r="N130" s="3"/>
    </row>
    <row r="131" customFormat="false" ht="23.85" hidden="false" customHeight="false" outlineLevel="0" collapsed="false">
      <c r="A131" s="3" t="s">
        <v>109</v>
      </c>
      <c r="B131" s="3" t="s">
        <v>560</v>
      </c>
      <c r="C131" s="3" t="s">
        <v>567</v>
      </c>
      <c r="D131" s="3" t="s">
        <v>568</v>
      </c>
      <c r="E131" s="3" t="s">
        <v>294</v>
      </c>
      <c r="F131" s="3" t="s">
        <v>444</v>
      </c>
      <c r="G131" s="3" t="s">
        <v>284</v>
      </c>
      <c r="H131" s="3"/>
      <c r="I131" s="3" t="s">
        <v>286</v>
      </c>
      <c r="J131" s="3" t="s">
        <v>286</v>
      </c>
      <c r="K131" s="3" t="s">
        <v>297</v>
      </c>
      <c r="L131" s="10" t="n">
        <f aca="false">COUNTIF(Documents!$B:$B,A131)</f>
        <v>4</v>
      </c>
      <c r="M131" s="10" t="n">
        <f aca="false">COUNTIFS(Documents!$B:$B,A131,Documents!$J:$J,"&gt;0")</f>
        <v>3</v>
      </c>
      <c r="N131" s="3"/>
    </row>
    <row r="132" customFormat="false" ht="23.85" hidden="false" customHeight="false" outlineLevel="0" collapsed="false">
      <c r="A132" s="3" t="s">
        <v>115</v>
      </c>
      <c r="B132" s="3" t="s">
        <v>560</v>
      </c>
      <c r="C132" s="3" t="s">
        <v>388</v>
      </c>
      <c r="D132" s="3" t="s">
        <v>569</v>
      </c>
      <c r="E132" s="3" t="s">
        <v>294</v>
      </c>
      <c r="F132" s="3" t="s">
        <v>444</v>
      </c>
      <c r="G132" s="3" t="s">
        <v>570</v>
      </c>
      <c r="H132" s="3"/>
      <c r="I132" s="3" t="s">
        <v>286</v>
      </c>
      <c r="J132" s="3" t="s">
        <v>286</v>
      </c>
      <c r="K132" s="3" t="s">
        <v>297</v>
      </c>
      <c r="L132" s="10" t="n">
        <f aca="false">COUNTIF(Documents!$B:$B,A132)</f>
        <v>4</v>
      </c>
      <c r="M132" s="10" t="n">
        <f aca="false">COUNTIFS(Documents!$B:$B,A132,Documents!$J:$J,"&gt;0")</f>
        <v>3</v>
      </c>
      <c r="N132" s="3"/>
    </row>
    <row r="133" customFormat="false" ht="23.85" hidden="false" customHeight="false" outlineLevel="0" collapsed="false">
      <c r="A133" s="3" t="s">
        <v>121</v>
      </c>
      <c r="B133" s="3" t="s">
        <v>560</v>
      </c>
      <c r="C133" s="3" t="s">
        <v>567</v>
      </c>
      <c r="D133" s="3" t="s">
        <v>569</v>
      </c>
      <c r="E133" s="3" t="s">
        <v>294</v>
      </c>
      <c r="F133" s="3" t="s">
        <v>444</v>
      </c>
      <c r="G133" s="3" t="s">
        <v>284</v>
      </c>
      <c r="H133" s="3"/>
      <c r="I133" s="3" t="s">
        <v>286</v>
      </c>
      <c r="J133" s="3" t="s">
        <v>286</v>
      </c>
      <c r="K133" s="3" t="s">
        <v>297</v>
      </c>
      <c r="L133" s="10" t="n">
        <f aca="false">COUNTIF(Documents!$B:$B,A133)</f>
        <v>4</v>
      </c>
      <c r="M133" s="10" t="n">
        <f aca="false">COUNTIFS(Documents!$B:$B,A133,Documents!$J:$J,"&gt;0")</f>
        <v>3</v>
      </c>
      <c r="N133" s="3"/>
    </row>
    <row r="134" customFormat="false" ht="23.85" hidden="false" customHeight="false" outlineLevel="0" collapsed="false">
      <c r="A134" s="3" t="s">
        <v>571</v>
      </c>
      <c r="B134" s="3" t="s">
        <v>560</v>
      </c>
      <c r="C134" s="3" t="s">
        <v>308</v>
      </c>
      <c r="D134" s="3" t="s">
        <v>569</v>
      </c>
      <c r="E134" s="3" t="s">
        <v>294</v>
      </c>
      <c r="F134" s="3" t="s">
        <v>444</v>
      </c>
      <c r="G134" s="3" t="s">
        <v>284</v>
      </c>
      <c r="H134" s="3"/>
      <c r="I134" s="3" t="s">
        <v>286</v>
      </c>
      <c r="J134" s="3" t="s">
        <v>286</v>
      </c>
      <c r="K134" s="3" t="s">
        <v>297</v>
      </c>
      <c r="L134" s="10" t="n">
        <f aca="false">COUNTIF(Documents!$B:$B,A134)</f>
        <v>3</v>
      </c>
      <c r="M134" s="10" t="n">
        <f aca="false">COUNTIFS(Documents!$B:$B,A134,Documents!$J:$J,"&gt;0")</f>
        <v>3</v>
      </c>
      <c r="N134" s="3"/>
    </row>
    <row r="135" customFormat="false" ht="23.85" hidden="false" customHeight="false" outlineLevel="0" collapsed="false">
      <c r="A135" s="3" t="s">
        <v>572</v>
      </c>
      <c r="B135" s="3" t="s">
        <v>560</v>
      </c>
      <c r="C135" s="3" t="s">
        <v>388</v>
      </c>
      <c r="D135" s="3" t="s">
        <v>569</v>
      </c>
      <c r="E135" s="3" t="s">
        <v>294</v>
      </c>
      <c r="F135" s="3" t="s">
        <v>444</v>
      </c>
      <c r="G135" s="3" t="s">
        <v>573</v>
      </c>
      <c r="H135" s="3"/>
      <c r="I135" s="3" t="s">
        <v>286</v>
      </c>
      <c r="J135" s="3" t="s">
        <v>286</v>
      </c>
      <c r="K135" s="3" t="s">
        <v>297</v>
      </c>
      <c r="L135" s="10" t="n">
        <f aca="false">COUNTIF(Documents!$B:$B,A135)</f>
        <v>3</v>
      </c>
      <c r="M135" s="10" t="n">
        <f aca="false">COUNTIFS(Documents!$B:$B,A135,Documents!$J:$J,"&gt;0")</f>
        <v>3</v>
      </c>
      <c r="N135" s="3"/>
    </row>
    <row r="136" customFormat="false" ht="23.85" hidden="false" customHeight="false" outlineLevel="0" collapsed="false">
      <c r="A136" s="3" t="s">
        <v>574</v>
      </c>
      <c r="B136" s="3" t="s">
        <v>560</v>
      </c>
      <c r="C136" s="3" t="s">
        <v>398</v>
      </c>
      <c r="D136" s="3" t="s">
        <v>575</v>
      </c>
      <c r="E136" s="3" t="s">
        <v>294</v>
      </c>
      <c r="F136" s="3" t="s">
        <v>444</v>
      </c>
      <c r="G136" s="3" t="s">
        <v>284</v>
      </c>
      <c r="H136" s="3"/>
      <c r="I136" s="3" t="s">
        <v>286</v>
      </c>
      <c r="J136" s="3" t="s">
        <v>301</v>
      </c>
      <c r="K136" s="3" t="s">
        <v>297</v>
      </c>
      <c r="L136" s="10" t="n">
        <f aca="false">COUNTIF(Documents!$B:$B,A136)</f>
        <v>1</v>
      </c>
      <c r="M136" s="10" t="n">
        <f aca="false">COUNTIFS(Documents!$B:$B,A136,Documents!$J:$J,"&gt;0")</f>
        <v>1</v>
      </c>
      <c r="N136" s="3"/>
    </row>
    <row r="137" customFormat="false" ht="23.85" hidden="false" customHeight="false" outlineLevel="0" collapsed="false">
      <c r="A137" s="3" t="s">
        <v>576</v>
      </c>
      <c r="B137" s="3" t="s">
        <v>560</v>
      </c>
      <c r="C137" s="3" t="s">
        <v>300</v>
      </c>
      <c r="D137" s="3" t="s">
        <v>569</v>
      </c>
      <c r="E137" s="3" t="s">
        <v>294</v>
      </c>
      <c r="F137" s="3" t="s">
        <v>444</v>
      </c>
      <c r="G137" s="3" t="s">
        <v>300</v>
      </c>
      <c r="H137" s="3"/>
      <c r="I137" s="3" t="s">
        <v>286</v>
      </c>
      <c r="J137" s="3" t="s">
        <v>301</v>
      </c>
      <c r="K137" s="3" t="s">
        <v>422</v>
      </c>
      <c r="L137" s="10" t="n">
        <f aca="false">COUNTIF(Documents!$B:$B,A137)</f>
        <v>1</v>
      </c>
      <c r="M137" s="10" t="n">
        <f aca="false">COUNTIFS(Documents!$B:$B,A137,Documents!$J:$J,"&gt;0")</f>
        <v>1</v>
      </c>
      <c r="N137" s="3"/>
    </row>
    <row r="138" customFormat="false" ht="23.85" hidden="false" customHeight="false" outlineLevel="0" collapsed="false">
      <c r="A138" s="3" t="s">
        <v>577</v>
      </c>
      <c r="B138" s="3" t="s">
        <v>560</v>
      </c>
      <c r="C138" s="3" t="s">
        <v>561</v>
      </c>
      <c r="D138" s="3" t="s">
        <v>578</v>
      </c>
      <c r="E138" s="3" t="s">
        <v>326</v>
      </c>
      <c r="F138" s="3" t="s">
        <v>579</v>
      </c>
      <c r="G138" s="3" t="s">
        <v>580</v>
      </c>
      <c r="H138" s="3"/>
      <c r="I138" s="3" t="s">
        <v>286</v>
      </c>
      <c r="J138" s="3" t="s">
        <v>286</v>
      </c>
      <c r="K138" s="3" t="s">
        <v>287</v>
      </c>
      <c r="L138" s="10" t="n">
        <f aca="false">COUNTIF(Documents!$B:$B,A138)</f>
        <v>9</v>
      </c>
      <c r="M138" s="10" t="n">
        <f aca="false">COUNTIFS(Documents!$B:$B,A138,Documents!$J:$J,"&gt;0")</f>
        <v>3</v>
      </c>
      <c r="N138" s="3" t="s">
        <v>581</v>
      </c>
    </row>
    <row r="139" customFormat="false" ht="23.85" hidden="false" customHeight="false" outlineLevel="0" collapsed="false">
      <c r="A139" s="9" t="s">
        <v>164</v>
      </c>
      <c r="B139" s="9" t="s">
        <v>466</v>
      </c>
      <c r="C139" s="9" t="s">
        <v>482</v>
      </c>
      <c r="D139" s="9" t="s">
        <v>300</v>
      </c>
      <c r="E139" s="9" t="s">
        <v>334</v>
      </c>
      <c r="F139" s="9" t="s">
        <v>582</v>
      </c>
      <c r="G139" s="9" t="s">
        <v>300</v>
      </c>
      <c r="H139" s="9"/>
      <c r="I139" s="9" t="s">
        <v>301</v>
      </c>
      <c r="J139" s="9" t="s">
        <v>301</v>
      </c>
      <c r="K139" s="9" t="s">
        <v>583</v>
      </c>
      <c r="L139" s="11" t="n">
        <f aca="false">COUNTIF(Documents!$B:$B,A139)</f>
        <v>2</v>
      </c>
      <c r="M139" s="11" t="n">
        <f aca="false">COUNTIFS(Documents!$B:$B,A139,Documents!$J:$J,"&gt;0")</f>
        <v>2</v>
      </c>
      <c r="N139" s="9" t="s">
        <v>584</v>
      </c>
    </row>
    <row r="140" customFormat="false" ht="23.85" hidden="false" customHeight="false" outlineLevel="0" collapsed="false">
      <c r="A140" s="9" t="s">
        <v>170</v>
      </c>
      <c r="B140" s="9" t="s">
        <v>466</v>
      </c>
      <c r="C140" s="9" t="s">
        <v>482</v>
      </c>
      <c r="D140" s="9" t="s">
        <v>300</v>
      </c>
      <c r="E140" s="9" t="s">
        <v>294</v>
      </c>
      <c r="F140" s="9" t="s">
        <v>582</v>
      </c>
      <c r="G140" s="9" t="s">
        <v>300</v>
      </c>
      <c r="H140" s="9"/>
      <c r="I140" s="9" t="s">
        <v>301</v>
      </c>
      <c r="J140" s="9" t="s">
        <v>301</v>
      </c>
      <c r="K140" s="9" t="s">
        <v>583</v>
      </c>
      <c r="L140" s="11" t="n">
        <f aca="false">COUNTIF(Documents!$B:$B,A140)</f>
        <v>1</v>
      </c>
      <c r="M140" s="11" t="n">
        <f aca="false">COUNTIFS(Documents!$B:$B,A140,Documents!$J:$J,"&gt;0")</f>
        <v>1</v>
      </c>
      <c r="N140" s="9" t="s">
        <v>584</v>
      </c>
    </row>
    <row r="141" customFormat="false" ht="23.85" hidden="false" customHeight="false" outlineLevel="0" collapsed="false">
      <c r="A141" s="9" t="s">
        <v>175</v>
      </c>
      <c r="B141" s="9" t="s">
        <v>466</v>
      </c>
      <c r="C141" s="9" t="s">
        <v>482</v>
      </c>
      <c r="D141" s="9" t="s">
        <v>300</v>
      </c>
      <c r="E141" s="9" t="s">
        <v>518</v>
      </c>
      <c r="F141" s="9" t="s">
        <v>514</v>
      </c>
      <c r="G141" s="9" t="s">
        <v>585</v>
      </c>
      <c r="H141" s="9"/>
      <c r="I141" s="9" t="s">
        <v>301</v>
      </c>
      <c r="J141" s="9" t="s">
        <v>301</v>
      </c>
      <c r="K141" s="9" t="s">
        <v>583</v>
      </c>
      <c r="L141" s="11" t="n">
        <f aca="false">COUNTIF(Documents!$B:$B,A141)</f>
        <v>1</v>
      </c>
      <c r="M141" s="11" t="n">
        <f aca="false">COUNTIFS(Documents!$B:$B,A141,Documents!$J:$J,"&gt;0")</f>
        <v>1</v>
      </c>
      <c r="N141" s="9" t="s">
        <v>584</v>
      </c>
    </row>
    <row r="142" customFormat="false" ht="23.85" hidden="false" customHeight="false" outlineLevel="0" collapsed="false">
      <c r="A142" s="9" t="s">
        <v>181</v>
      </c>
      <c r="B142" s="9" t="s">
        <v>466</v>
      </c>
      <c r="C142" s="9" t="s">
        <v>469</v>
      </c>
      <c r="D142" s="9" t="s">
        <v>300</v>
      </c>
      <c r="E142" s="9" t="s">
        <v>359</v>
      </c>
      <c r="F142" s="9" t="s">
        <v>283</v>
      </c>
      <c r="G142" s="9" t="s">
        <v>300</v>
      </c>
      <c r="H142" s="9"/>
      <c r="I142" s="9" t="s">
        <v>301</v>
      </c>
      <c r="J142" s="9" t="s">
        <v>301</v>
      </c>
      <c r="K142" s="9" t="s">
        <v>583</v>
      </c>
      <c r="L142" s="11" t="n">
        <f aca="false">COUNTIF(Documents!$B:$B,A142)</f>
        <v>2</v>
      </c>
      <c r="M142" s="11" t="n">
        <f aca="false">COUNTIFS(Documents!$B:$B,A142,Documents!$J:$J,"&gt;0")</f>
        <v>2</v>
      </c>
      <c r="N142" s="9" t="s">
        <v>584</v>
      </c>
    </row>
    <row r="143" customFormat="false" ht="23.85" hidden="false" customHeight="false" outlineLevel="0" collapsed="false">
      <c r="A143" s="9" t="s">
        <v>198</v>
      </c>
      <c r="B143" s="9" t="s">
        <v>487</v>
      </c>
      <c r="C143" s="9" t="s">
        <v>586</v>
      </c>
      <c r="D143" s="9" t="s">
        <v>300</v>
      </c>
      <c r="E143" s="9" t="s">
        <v>315</v>
      </c>
      <c r="F143" s="9" t="s">
        <v>582</v>
      </c>
      <c r="G143" s="9" t="s">
        <v>587</v>
      </c>
      <c r="H143" s="9"/>
      <c r="I143" s="9" t="s">
        <v>301</v>
      </c>
      <c r="J143" s="9" t="s">
        <v>301</v>
      </c>
      <c r="K143" s="9" t="s">
        <v>583</v>
      </c>
      <c r="L143" s="11" t="n">
        <f aca="false">COUNTIF(Documents!$B:$B,A143)</f>
        <v>1</v>
      </c>
      <c r="M143" s="11" t="n">
        <f aca="false">COUNTIFS(Documents!$B:$B,A143,Documents!$J:$J,"&gt;0")</f>
        <v>1</v>
      </c>
      <c r="N143" s="9" t="s">
        <v>584</v>
      </c>
    </row>
    <row r="144" customFormat="false" ht="23.85" hidden="false" customHeight="false" outlineLevel="0" collapsed="false">
      <c r="A144" s="9" t="s">
        <v>192</v>
      </c>
      <c r="B144" s="9" t="s">
        <v>410</v>
      </c>
      <c r="C144" s="9" t="s">
        <v>411</v>
      </c>
      <c r="D144" s="9" t="s">
        <v>300</v>
      </c>
      <c r="E144" s="9" t="s">
        <v>326</v>
      </c>
      <c r="F144" s="9" t="s">
        <v>283</v>
      </c>
      <c r="G144" s="9" t="s">
        <v>588</v>
      </c>
      <c r="H144" s="9"/>
      <c r="I144" s="9" t="s">
        <v>301</v>
      </c>
      <c r="J144" s="9" t="s">
        <v>301</v>
      </c>
      <c r="K144" s="9" t="s">
        <v>583</v>
      </c>
      <c r="L144" s="11" t="n">
        <f aca="false">COUNTIF(Documents!$B:$B,A144)</f>
        <v>3</v>
      </c>
      <c r="M144" s="11" t="n">
        <f aca="false">COUNTIFS(Documents!$B:$B,A144,Documents!$J:$J,"&gt;0")</f>
        <v>3</v>
      </c>
      <c r="N144" s="9" t="s">
        <v>584</v>
      </c>
    </row>
    <row r="145" customFormat="false" ht="23.85" hidden="false" customHeight="false" outlineLevel="0" collapsed="false">
      <c r="A145" s="9" t="s">
        <v>204</v>
      </c>
      <c r="B145" s="9" t="s">
        <v>366</v>
      </c>
      <c r="C145" s="9" t="s">
        <v>370</v>
      </c>
      <c r="D145" s="9" t="s">
        <v>300</v>
      </c>
      <c r="E145" s="9" t="s">
        <v>589</v>
      </c>
      <c r="F145" s="9" t="s">
        <v>300</v>
      </c>
      <c r="G145" s="9" t="s">
        <v>590</v>
      </c>
      <c r="H145" s="9"/>
      <c r="I145" s="9" t="s">
        <v>301</v>
      </c>
      <c r="J145" s="9" t="s">
        <v>301</v>
      </c>
      <c r="K145" s="9" t="s">
        <v>583</v>
      </c>
      <c r="L145" s="11" t="n">
        <f aca="false">COUNTIF(Documents!$B:$B,A145)</f>
        <v>1</v>
      </c>
      <c r="M145" s="11" t="n">
        <f aca="false">COUNTIFS(Documents!$B:$B,A145,Documents!$J:$J,"&gt;0")</f>
        <v>1</v>
      </c>
      <c r="N145" s="9" t="s">
        <v>584</v>
      </c>
    </row>
    <row r="146" customFormat="false" ht="23.85" hidden="false" customHeight="false" outlineLevel="0" collapsed="false">
      <c r="A146" s="9" t="s">
        <v>591</v>
      </c>
      <c r="B146" s="9" t="s">
        <v>332</v>
      </c>
      <c r="C146" s="9" t="s">
        <v>304</v>
      </c>
      <c r="D146" s="9" t="s">
        <v>592</v>
      </c>
      <c r="E146" s="9" t="s">
        <v>305</v>
      </c>
      <c r="F146" s="9" t="s">
        <v>283</v>
      </c>
      <c r="G146" s="9" t="s">
        <v>593</v>
      </c>
      <c r="H146" s="9"/>
      <c r="I146" s="9" t="s">
        <v>301</v>
      </c>
      <c r="J146" s="9" t="s">
        <v>301</v>
      </c>
      <c r="K146" s="9" t="s">
        <v>583</v>
      </c>
      <c r="L146" s="11" t="n">
        <f aca="false">COUNTIF(Documents!$B:$B,A146)</f>
        <v>1</v>
      </c>
      <c r="M146" s="11" t="n">
        <f aca="false">COUNTIFS(Documents!$B:$B,A146,Documents!$J:$J,"&gt;0")</f>
        <v>1</v>
      </c>
      <c r="N146" s="9" t="s">
        <v>584</v>
      </c>
    </row>
    <row r="147" customFormat="false" ht="23.85" hidden="false" customHeight="false" outlineLevel="0" collapsed="false">
      <c r="A147" s="9" t="s">
        <v>187</v>
      </c>
      <c r="B147" s="9" t="s">
        <v>332</v>
      </c>
      <c r="C147" s="9" t="s">
        <v>304</v>
      </c>
      <c r="D147" s="9" t="s">
        <v>300</v>
      </c>
      <c r="E147" s="9" t="s">
        <v>334</v>
      </c>
      <c r="F147" s="9" t="s">
        <v>283</v>
      </c>
      <c r="G147" s="9" t="s">
        <v>284</v>
      </c>
      <c r="H147" s="9"/>
      <c r="I147" s="9" t="s">
        <v>301</v>
      </c>
      <c r="J147" s="9" t="s">
        <v>301</v>
      </c>
      <c r="K147" s="9" t="s">
        <v>583</v>
      </c>
      <c r="L147" s="11" t="n">
        <f aca="false">COUNTIF(Documents!$B:$B,A147)</f>
        <v>1</v>
      </c>
      <c r="M147" s="11" t="n">
        <f aca="false">COUNTIFS(Documents!$B:$B,A147,Documents!$J:$J,"&gt;0")</f>
        <v>1</v>
      </c>
      <c r="N147" s="9" t="s">
        <v>584</v>
      </c>
    </row>
    <row r="148" customFormat="false" ht="23.85" hidden="false" customHeight="false" outlineLevel="0" collapsed="false">
      <c r="A148" s="9" t="s">
        <v>227</v>
      </c>
      <c r="B148" s="9" t="s">
        <v>528</v>
      </c>
      <c r="C148" s="9" t="s">
        <v>404</v>
      </c>
      <c r="D148" s="9" t="s">
        <v>594</v>
      </c>
      <c r="E148" s="9" t="s">
        <v>334</v>
      </c>
      <c r="F148" s="9" t="s">
        <v>283</v>
      </c>
      <c r="G148" s="9" t="s">
        <v>284</v>
      </c>
      <c r="H148" s="9"/>
      <c r="I148" s="9" t="s">
        <v>301</v>
      </c>
      <c r="J148" s="9" t="s">
        <v>301</v>
      </c>
      <c r="K148" s="9" t="s">
        <v>583</v>
      </c>
      <c r="L148" s="11" t="n">
        <f aca="false">COUNTIF(Documents!$B:$B,A148)</f>
        <v>1</v>
      </c>
      <c r="M148" s="11" t="n">
        <f aca="false">COUNTIFS(Documents!$B:$B,A148,Documents!$J:$J,"&gt;0")</f>
        <v>1</v>
      </c>
      <c r="N148" s="9" t="s">
        <v>584</v>
      </c>
    </row>
    <row r="149" customFormat="false" ht="23.85" hidden="false" customHeight="false" outlineLevel="0" collapsed="false">
      <c r="A149" s="9" t="s">
        <v>595</v>
      </c>
      <c r="B149" s="9" t="s">
        <v>307</v>
      </c>
      <c r="C149" s="9" t="s">
        <v>367</v>
      </c>
      <c r="D149" s="9" t="s">
        <v>300</v>
      </c>
      <c r="E149" s="9" t="s">
        <v>326</v>
      </c>
      <c r="F149" s="9" t="s">
        <v>514</v>
      </c>
      <c r="G149" s="9" t="s">
        <v>515</v>
      </c>
      <c r="H149" s="9"/>
      <c r="I149" s="9" t="s">
        <v>301</v>
      </c>
      <c r="J149" s="9" t="s">
        <v>301</v>
      </c>
      <c r="K149" s="9" t="s">
        <v>583</v>
      </c>
      <c r="L149" s="11" t="n">
        <f aca="false">COUNTIF(Documents!$B:$B,A149)</f>
        <v>1</v>
      </c>
      <c r="M149" s="11" t="n">
        <f aca="false">COUNTIFS(Documents!$B:$B,A149,Documents!$J:$J,"&gt;0")</f>
        <v>1</v>
      </c>
      <c r="N149" s="9" t="s">
        <v>584</v>
      </c>
    </row>
    <row r="150" customFormat="false" ht="23.85" hidden="false" customHeight="false" outlineLevel="0" collapsed="false">
      <c r="A150" s="9" t="s">
        <v>596</v>
      </c>
      <c r="B150" s="9" t="s">
        <v>366</v>
      </c>
      <c r="C150" s="9" t="s">
        <v>367</v>
      </c>
      <c r="D150" s="9" t="s">
        <v>300</v>
      </c>
      <c r="E150" s="9" t="s">
        <v>294</v>
      </c>
      <c r="F150" s="9" t="s">
        <v>283</v>
      </c>
      <c r="G150" s="9" t="s">
        <v>587</v>
      </c>
      <c r="H150" s="9"/>
      <c r="I150" s="9" t="s">
        <v>301</v>
      </c>
      <c r="J150" s="9" t="s">
        <v>301</v>
      </c>
      <c r="K150" s="9" t="s">
        <v>583</v>
      </c>
      <c r="L150" s="11" t="n">
        <f aca="false">COUNTIF(Documents!$B:$B,A150)</f>
        <v>2</v>
      </c>
      <c r="M150" s="11" t="n">
        <f aca="false">COUNTIFS(Documents!$B:$B,A150,Documents!$J:$J,"&gt;0")</f>
        <v>2</v>
      </c>
      <c r="N150" s="9" t="s">
        <v>584</v>
      </c>
    </row>
    <row r="151" customFormat="false" ht="23.85" hidden="false" customHeight="false" outlineLevel="0" collapsed="false">
      <c r="A151" s="9" t="s">
        <v>215</v>
      </c>
      <c r="B151" s="9" t="s">
        <v>366</v>
      </c>
      <c r="C151" s="9" t="s">
        <v>370</v>
      </c>
      <c r="D151" s="9" t="s">
        <v>300</v>
      </c>
      <c r="E151" s="9" t="s">
        <v>326</v>
      </c>
      <c r="F151" s="9" t="s">
        <v>283</v>
      </c>
      <c r="G151" s="9" t="s">
        <v>597</v>
      </c>
      <c r="H151" s="9"/>
      <c r="I151" s="9" t="s">
        <v>301</v>
      </c>
      <c r="J151" s="9" t="s">
        <v>301</v>
      </c>
      <c r="K151" s="9" t="s">
        <v>583</v>
      </c>
      <c r="L151" s="11" t="n">
        <f aca="false">COUNTIF(Documents!$B:$B,A151)</f>
        <v>1</v>
      </c>
      <c r="M151" s="11" t="n">
        <f aca="false">COUNTIFS(Documents!$B:$B,A151,Documents!$J:$J,"&gt;0")</f>
        <v>1</v>
      </c>
      <c r="N151" s="9" t="s">
        <v>584</v>
      </c>
    </row>
    <row r="152" customFormat="false" ht="23.85" hidden="false" customHeight="false" outlineLevel="0" collapsed="false">
      <c r="A152" s="9" t="s">
        <v>221</v>
      </c>
      <c r="B152" s="9" t="s">
        <v>366</v>
      </c>
      <c r="C152" s="9" t="s">
        <v>370</v>
      </c>
      <c r="D152" s="9" t="s">
        <v>300</v>
      </c>
      <c r="E152" s="9" t="s">
        <v>359</v>
      </c>
      <c r="F152" s="9" t="s">
        <v>283</v>
      </c>
      <c r="G152" s="9" t="s">
        <v>300</v>
      </c>
      <c r="H152" s="9"/>
      <c r="I152" s="9" t="s">
        <v>301</v>
      </c>
      <c r="J152" s="9" t="s">
        <v>301</v>
      </c>
      <c r="K152" s="9" t="s">
        <v>583</v>
      </c>
      <c r="L152" s="11" t="n">
        <f aca="false">COUNTIF(Documents!$B:$B,A152)</f>
        <v>1</v>
      </c>
      <c r="M152" s="11" t="n">
        <f aca="false">COUNTIFS(Documents!$B:$B,A152,Documents!$J:$J,"&gt;0")</f>
        <v>1</v>
      </c>
      <c r="N152" s="9" t="s">
        <v>584</v>
      </c>
    </row>
    <row r="153" customFormat="false" ht="23.85" hidden="false" customHeight="false" outlineLevel="0" collapsed="false">
      <c r="A153" s="9" t="s">
        <v>598</v>
      </c>
      <c r="B153" s="9" t="s">
        <v>560</v>
      </c>
      <c r="C153" s="9" t="s">
        <v>599</v>
      </c>
      <c r="D153" s="9" t="s">
        <v>569</v>
      </c>
      <c r="E153" s="9" t="s">
        <v>294</v>
      </c>
      <c r="F153" s="9" t="s">
        <v>444</v>
      </c>
      <c r="G153" s="9" t="s">
        <v>600</v>
      </c>
      <c r="H153" s="9"/>
      <c r="I153" s="9" t="s">
        <v>301</v>
      </c>
      <c r="J153" s="9" t="s">
        <v>301</v>
      </c>
      <c r="K153" s="9" t="s">
        <v>583</v>
      </c>
      <c r="L153" s="11" t="n">
        <f aca="false">COUNTIF(Documents!$B:$B,A153)</f>
        <v>1</v>
      </c>
      <c r="M153" s="11" t="n">
        <f aca="false">COUNTIFS(Documents!$B:$B,A153,Documents!$J:$J,"&gt;0")</f>
        <v>1</v>
      </c>
      <c r="N153" s="9" t="s">
        <v>584</v>
      </c>
    </row>
    <row r="154" customFormat="false" ht="23.85" hidden="false" customHeight="false" outlineLevel="0" collapsed="false">
      <c r="A154" s="9" t="s">
        <v>233</v>
      </c>
      <c r="B154" s="9" t="s">
        <v>535</v>
      </c>
      <c r="C154" s="9" t="s">
        <v>601</v>
      </c>
      <c r="D154" s="9" t="s">
        <v>444</v>
      </c>
      <c r="E154" s="9" t="s">
        <v>294</v>
      </c>
      <c r="F154" s="9" t="s">
        <v>537</v>
      </c>
      <c r="G154" s="9" t="s">
        <v>602</v>
      </c>
      <c r="H154" s="9"/>
      <c r="I154" s="9" t="s">
        <v>301</v>
      </c>
      <c r="J154" s="9" t="s">
        <v>301</v>
      </c>
      <c r="K154" s="9" t="s">
        <v>583</v>
      </c>
      <c r="L154" s="11" t="n">
        <f aca="false">COUNTIF(Documents!$B:$B,A154)</f>
        <v>1</v>
      </c>
      <c r="M154" s="11" t="n">
        <f aca="false">COUNTIFS(Documents!$B:$B,A154,Documents!$J:$J,"&gt;0")</f>
        <v>1</v>
      </c>
      <c r="N154" s="9" t="s">
        <v>584</v>
      </c>
    </row>
    <row r="155" customFormat="false" ht="23.85" hidden="false" customHeight="false" outlineLevel="0" collapsed="false">
      <c r="A155" s="9" t="s">
        <v>238</v>
      </c>
      <c r="B155" s="9" t="s">
        <v>410</v>
      </c>
      <c r="C155" s="9" t="s">
        <v>586</v>
      </c>
      <c r="D155" s="9" t="s">
        <v>300</v>
      </c>
      <c r="E155" s="9" t="s">
        <v>359</v>
      </c>
      <c r="F155" s="9" t="s">
        <v>283</v>
      </c>
      <c r="G155" s="9" t="s">
        <v>284</v>
      </c>
      <c r="H155" s="9"/>
      <c r="I155" s="9" t="s">
        <v>301</v>
      </c>
      <c r="J155" s="9" t="s">
        <v>301</v>
      </c>
      <c r="K155" s="9" t="s">
        <v>583</v>
      </c>
      <c r="L155" s="11" t="n">
        <f aca="false">COUNTIF(Documents!$B:$B,A155)</f>
        <v>2</v>
      </c>
      <c r="M155" s="11" t="n">
        <f aca="false">COUNTIFS(Documents!$B:$B,A155,Documents!$J:$J,"&gt;0")</f>
        <v>2</v>
      </c>
      <c r="N155" s="9" t="s">
        <v>584</v>
      </c>
    </row>
    <row r="156" customFormat="false" ht="23.85" hidden="false" customHeight="false" outlineLevel="0" collapsed="false">
      <c r="A156" s="9" t="s">
        <v>603</v>
      </c>
      <c r="B156" s="9" t="s">
        <v>560</v>
      </c>
      <c r="C156" s="9" t="s">
        <v>604</v>
      </c>
      <c r="D156" s="9" t="s">
        <v>569</v>
      </c>
      <c r="E156" s="9" t="s">
        <v>605</v>
      </c>
      <c r="F156" s="9" t="s">
        <v>537</v>
      </c>
      <c r="G156" s="9" t="s">
        <v>300</v>
      </c>
      <c r="H156" s="9"/>
      <c r="I156" s="9" t="s">
        <v>301</v>
      </c>
      <c r="J156" s="9" t="s">
        <v>301</v>
      </c>
      <c r="K156" s="9" t="s">
        <v>583</v>
      </c>
      <c r="L156" s="11" t="n">
        <f aca="false">COUNTIF(Documents!$B:$B,A156)</f>
        <v>1</v>
      </c>
      <c r="M156" s="11" t="n">
        <f aca="false">COUNTIFS(Documents!$B:$B,A156,Documents!$J:$J,"&gt;0")</f>
        <v>1</v>
      </c>
      <c r="N156" s="9" t="s">
        <v>584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3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9"/>
    <col collapsed="false" customWidth="true" hidden="false" outlineLevel="0" max="2" min="2" style="1" width="34"/>
    <col collapsed="false" customWidth="true" hidden="false" outlineLevel="0" max="3" min="3" style="1" width="46"/>
    <col collapsed="false" customWidth="true" hidden="false" outlineLevel="0" max="4" min="4" style="1" width="20"/>
    <col collapsed="false" customWidth="true" hidden="false" outlineLevel="0" max="5" min="5" style="1" width="52"/>
    <col collapsed="false" customWidth="true" hidden="false" outlineLevel="0" max="6" min="6" style="1" width="16"/>
    <col collapsed="false" customWidth="true" hidden="false" outlineLevel="0" max="7" min="7" style="1" width="20"/>
    <col collapsed="false" customWidth="true" hidden="false" outlineLevel="0" max="8" min="8" style="1" width="24"/>
    <col collapsed="false" customWidth="true" hidden="false" outlineLevel="0" max="10" min="9" style="1" width="9"/>
    <col collapsed="false" customWidth="true" hidden="false" outlineLevel="0" max="11" min="11" style="1" width="24"/>
    <col collapsed="false" customWidth="true" hidden="false" outlineLevel="0" max="12" min="12" style="1" width="60"/>
  </cols>
  <sheetData>
    <row r="1" customFormat="false" ht="23.85" hidden="false" customHeight="false" outlineLevel="0" collapsed="false">
      <c r="A1" s="5" t="s">
        <v>606</v>
      </c>
      <c r="B1" s="5" t="s">
        <v>35</v>
      </c>
      <c r="C1" s="5" t="s">
        <v>607</v>
      </c>
      <c r="D1" s="5" t="s">
        <v>608</v>
      </c>
      <c r="E1" s="5" t="s">
        <v>609</v>
      </c>
      <c r="F1" s="5" t="s">
        <v>610</v>
      </c>
      <c r="G1" s="5" t="s">
        <v>611</v>
      </c>
      <c r="H1" s="5" t="s">
        <v>612</v>
      </c>
      <c r="I1" s="5" t="s">
        <v>613</v>
      </c>
      <c r="J1" s="5" t="s">
        <v>614</v>
      </c>
      <c r="K1" s="5" t="s">
        <v>615</v>
      </c>
      <c r="L1" s="5" t="s">
        <v>616</v>
      </c>
    </row>
    <row r="2" customFormat="false" ht="23.85" hidden="false" customHeight="false" outlineLevel="0" collapsed="false">
      <c r="A2" s="7" t="s">
        <v>617</v>
      </c>
      <c r="B2" s="7" t="s">
        <v>278</v>
      </c>
      <c r="C2" s="7" t="s">
        <v>618</v>
      </c>
      <c r="D2" s="7" t="s">
        <v>619</v>
      </c>
      <c r="E2" s="12" t="s">
        <v>620</v>
      </c>
      <c r="F2" s="3" t="s">
        <v>621</v>
      </c>
      <c r="G2" s="3" t="s">
        <v>622</v>
      </c>
      <c r="H2" s="3" t="s">
        <v>623</v>
      </c>
      <c r="I2" s="10" t="n">
        <v>1</v>
      </c>
      <c r="J2" s="10" t="n">
        <v>1</v>
      </c>
      <c r="K2" s="3" t="s">
        <v>624</v>
      </c>
      <c r="L2" s="3" t="s">
        <v>625</v>
      </c>
    </row>
    <row r="3" customFormat="false" ht="23.85" hidden="false" customHeight="false" outlineLevel="0" collapsed="false">
      <c r="A3" s="7" t="s">
        <v>626</v>
      </c>
      <c r="B3" s="7" t="s">
        <v>278</v>
      </c>
      <c r="C3" s="7" t="s">
        <v>627</v>
      </c>
      <c r="D3" s="7" t="s">
        <v>628</v>
      </c>
      <c r="E3" s="12" t="s">
        <v>629</v>
      </c>
      <c r="F3" s="3" t="s">
        <v>630</v>
      </c>
      <c r="G3" s="3" t="s">
        <v>622</v>
      </c>
      <c r="H3" s="3" t="s">
        <v>631</v>
      </c>
      <c r="I3" s="10" t="n">
        <v>1</v>
      </c>
      <c r="J3" s="10" t="n">
        <v>2</v>
      </c>
      <c r="K3" s="3" t="s">
        <v>632</v>
      </c>
      <c r="L3" s="3" t="s">
        <v>633</v>
      </c>
    </row>
    <row r="4" customFormat="false" ht="23.85" hidden="false" customHeight="false" outlineLevel="0" collapsed="false">
      <c r="A4" s="7" t="s">
        <v>634</v>
      </c>
      <c r="B4" s="7" t="s">
        <v>278</v>
      </c>
      <c r="C4" s="7" t="s">
        <v>635</v>
      </c>
      <c r="D4" s="7" t="s">
        <v>636</v>
      </c>
      <c r="E4" s="12" t="s">
        <v>637</v>
      </c>
      <c r="F4" s="3" t="s">
        <v>638</v>
      </c>
      <c r="G4" s="3" t="s">
        <v>622</v>
      </c>
      <c r="H4" s="3" t="s">
        <v>639</v>
      </c>
      <c r="I4" s="10" t="n">
        <v>2</v>
      </c>
      <c r="J4" s="10" t="n">
        <v>3</v>
      </c>
      <c r="K4" s="3" t="s">
        <v>624</v>
      </c>
      <c r="L4" s="3" t="s">
        <v>640</v>
      </c>
    </row>
    <row r="5" customFormat="false" ht="23.85" hidden="false" customHeight="false" outlineLevel="0" collapsed="false">
      <c r="A5" s="3" t="s">
        <v>641</v>
      </c>
      <c r="B5" s="3" t="s">
        <v>278</v>
      </c>
      <c r="C5" s="3" t="s">
        <v>642</v>
      </c>
      <c r="D5" s="3" t="s">
        <v>636</v>
      </c>
      <c r="E5" s="12" t="s">
        <v>643</v>
      </c>
      <c r="F5" s="3" t="s">
        <v>638</v>
      </c>
      <c r="G5" s="3" t="s">
        <v>622</v>
      </c>
      <c r="H5" s="3" t="s">
        <v>639</v>
      </c>
      <c r="I5" s="10" t="n">
        <v>2</v>
      </c>
      <c r="J5" s="10"/>
      <c r="K5" s="3" t="s">
        <v>624</v>
      </c>
      <c r="L5" s="3" t="s">
        <v>644</v>
      </c>
    </row>
    <row r="6" customFormat="false" ht="23.85" hidden="false" customHeight="false" outlineLevel="0" collapsed="false">
      <c r="A6" s="3" t="s">
        <v>645</v>
      </c>
      <c r="B6" s="3" t="s">
        <v>278</v>
      </c>
      <c r="C6" s="3" t="s">
        <v>646</v>
      </c>
      <c r="D6" s="3" t="s">
        <v>647</v>
      </c>
      <c r="E6" s="12" t="s">
        <v>648</v>
      </c>
      <c r="F6" s="3" t="s">
        <v>649</v>
      </c>
      <c r="G6" s="3" t="s">
        <v>622</v>
      </c>
      <c r="H6" s="3" t="s">
        <v>650</v>
      </c>
      <c r="I6" s="10" t="n">
        <v>2</v>
      </c>
      <c r="J6" s="10"/>
      <c r="K6" s="3" t="s">
        <v>624</v>
      </c>
      <c r="L6" s="3" t="s">
        <v>651</v>
      </c>
    </row>
    <row r="7" customFormat="false" ht="15" hidden="false" customHeight="false" outlineLevel="0" collapsed="false">
      <c r="A7" s="7" t="s">
        <v>652</v>
      </c>
      <c r="B7" s="7" t="s">
        <v>288</v>
      </c>
      <c r="C7" s="7" t="s">
        <v>653</v>
      </c>
      <c r="D7" s="7" t="s">
        <v>619</v>
      </c>
      <c r="E7" s="12" t="s">
        <v>654</v>
      </c>
      <c r="F7" s="3" t="s">
        <v>621</v>
      </c>
      <c r="G7" s="3" t="s">
        <v>622</v>
      </c>
      <c r="H7" s="3" t="s">
        <v>623</v>
      </c>
      <c r="I7" s="10" t="n">
        <v>1</v>
      </c>
      <c r="J7" s="10" t="n">
        <v>1</v>
      </c>
      <c r="K7" s="3" t="s">
        <v>624</v>
      </c>
      <c r="L7" s="3" t="s">
        <v>655</v>
      </c>
    </row>
    <row r="8" customFormat="false" ht="23.85" hidden="false" customHeight="false" outlineLevel="0" collapsed="false">
      <c r="A8" s="7" t="s">
        <v>656</v>
      </c>
      <c r="B8" s="7" t="s">
        <v>288</v>
      </c>
      <c r="C8" s="7" t="s">
        <v>657</v>
      </c>
      <c r="D8" s="7" t="s">
        <v>628</v>
      </c>
      <c r="E8" s="12" t="s">
        <v>658</v>
      </c>
      <c r="F8" s="3" t="s">
        <v>630</v>
      </c>
      <c r="G8" s="3" t="s">
        <v>622</v>
      </c>
      <c r="H8" s="3" t="s">
        <v>631</v>
      </c>
      <c r="I8" s="10" t="n">
        <v>1</v>
      </c>
      <c r="J8" s="10" t="n">
        <v>2</v>
      </c>
      <c r="K8" s="3" t="s">
        <v>624</v>
      </c>
      <c r="L8" s="3" t="s">
        <v>659</v>
      </c>
    </row>
    <row r="9" customFormat="false" ht="23.85" hidden="false" customHeight="false" outlineLevel="0" collapsed="false">
      <c r="A9" s="7" t="s">
        <v>660</v>
      </c>
      <c r="B9" s="7" t="s">
        <v>288</v>
      </c>
      <c r="C9" s="7" t="s">
        <v>661</v>
      </c>
      <c r="D9" s="7" t="s">
        <v>636</v>
      </c>
      <c r="E9" s="12" t="s">
        <v>662</v>
      </c>
      <c r="F9" s="3" t="s">
        <v>638</v>
      </c>
      <c r="G9" s="3" t="s">
        <v>622</v>
      </c>
      <c r="H9" s="3" t="s">
        <v>639</v>
      </c>
      <c r="I9" s="10" t="n">
        <v>2</v>
      </c>
      <c r="J9" s="10" t="n">
        <v>3</v>
      </c>
      <c r="K9" s="3" t="s">
        <v>624</v>
      </c>
      <c r="L9" s="3" t="s">
        <v>663</v>
      </c>
    </row>
    <row r="10" customFormat="false" ht="23.85" hidden="false" customHeight="false" outlineLevel="0" collapsed="false">
      <c r="A10" s="3" t="s">
        <v>664</v>
      </c>
      <c r="B10" s="3" t="s">
        <v>288</v>
      </c>
      <c r="C10" s="3" t="s">
        <v>665</v>
      </c>
      <c r="D10" s="3" t="s">
        <v>647</v>
      </c>
      <c r="E10" s="12" t="s">
        <v>666</v>
      </c>
      <c r="F10" s="3" t="s">
        <v>667</v>
      </c>
      <c r="G10" s="3" t="s">
        <v>622</v>
      </c>
      <c r="H10" s="3" t="s">
        <v>650</v>
      </c>
      <c r="I10" s="10" t="n">
        <v>2</v>
      </c>
      <c r="J10" s="10"/>
      <c r="K10" s="3" t="s">
        <v>632</v>
      </c>
      <c r="L10" s="3" t="s">
        <v>668</v>
      </c>
    </row>
    <row r="11" customFormat="false" ht="15" hidden="false" customHeight="false" outlineLevel="0" collapsed="false">
      <c r="A11" s="7" t="s">
        <v>669</v>
      </c>
      <c r="B11" s="7" t="s">
        <v>292</v>
      </c>
      <c r="C11" s="7" t="s">
        <v>670</v>
      </c>
      <c r="D11" s="7" t="s">
        <v>628</v>
      </c>
      <c r="E11" s="12" t="s">
        <v>671</v>
      </c>
      <c r="F11" s="3" t="s">
        <v>630</v>
      </c>
      <c r="G11" s="3" t="s">
        <v>622</v>
      </c>
      <c r="H11" s="3" t="s">
        <v>631</v>
      </c>
      <c r="I11" s="10" t="n">
        <v>1</v>
      </c>
      <c r="J11" s="10" t="n">
        <v>1</v>
      </c>
      <c r="K11" s="3" t="s">
        <v>624</v>
      </c>
      <c r="L11" s="3" t="s">
        <v>672</v>
      </c>
    </row>
    <row r="12" customFormat="false" ht="23.85" hidden="false" customHeight="false" outlineLevel="0" collapsed="false">
      <c r="A12" s="7" t="s">
        <v>673</v>
      </c>
      <c r="B12" s="7" t="s">
        <v>292</v>
      </c>
      <c r="C12" s="7" t="s">
        <v>674</v>
      </c>
      <c r="D12" s="7" t="s">
        <v>675</v>
      </c>
      <c r="E12" s="12" t="s">
        <v>676</v>
      </c>
      <c r="F12" s="3" t="s">
        <v>638</v>
      </c>
      <c r="G12" s="3" t="s">
        <v>622</v>
      </c>
      <c r="H12" s="3" t="s">
        <v>639</v>
      </c>
      <c r="I12" s="10" t="n">
        <v>1</v>
      </c>
      <c r="J12" s="10" t="n">
        <v>2</v>
      </c>
      <c r="K12" s="3" t="s">
        <v>624</v>
      </c>
      <c r="L12" s="3" t="s">
        <v>677</v>
      </c>
    </row>
    <row r="13" customFormat="false" ht="15" hidden="false" customHeight="false" outlineLevel="0" collapsed="false">
      <c r="A13" s="7" t="s">
        <v>678</v>
      </c>
      <c r="B13" s="7" t="s">
        <v>65</v>
      </c>
      <c r="C13" s="7" t="s">
        <v>679</v>
      </c>
      <c r="D13" s="7" t="s">
        <v>619</v>
      </c>
      <c r="E13" s="12" t="s">
        <v>680</v>
      </c>
      <c r="F13" s="3" t="s">
        <v>621</v>
      </c>
      <c r="G13" s="3" t="s">
        <v>622</v>
      </c>
      <c r="H13" s="3" t="s">
        <v>623</v>
      </c>
      <c r="I13" s="10" t="n">
        <v>1</v>
      </c>
      <c r="J13" s="10" t="n">
        <v>1</v>
      </c>
      <c r="K13" s="3" t="s">
        <v>624</v>
      </c>
      <c r="L13" s="3" t="s">
        <v>681</v>
      </c>
    </row>
    <row r="14" customFormat="false" ht="15" hidden="false" customHeight="false" outlineLevel="0" collapsed="false">
      <c r="A14" s="7" t="s">
        <v>682</v>
      </c>
      <c r="B14" s="7" t="s">
        <v>65</v>
      </c>
      <c r="C14" s="7" t="s">
        <v>683</v>
      </c>
      <c r="D14" s="7" t="s">
        <v>675</v>
      </c>
      <c r="E14" s="12" t="s">
        <v>684</v>
      </c>
      <c r="F14" s="3" t="s">
        <v>638</v>
      </c>
      <c r="G14" s="3" t="s">
        <v>622</v>
      </c>
      <c r="H14" s="3" t="s">
        <v>685</v>
      </c>
      <c r="I14" s="10" t="n">
        <v>3</v>
      </c>
      <c r="J14" s="10" t="n">
        <v>2</v>
      </c>
      <c r="K14" s="3" t="s">
        <v>624</v>
      </c>
      <c r="L14" s="3" t="s">
        <v>686</v>
      </c>
    </row>
    <row r="15" customFormat="false" ht="23.85" hidden="false" customHeight="false" outlineLevel="0" collapsed="false">
      <c r="A15" s="7" t="s">
        <v>687</v>
      </c>
      <c r="B15" s="7" t="s">
        <v>65</v>
      </c>
      <c r="C15" s="7" t="s">
        <v>688</v>
      </c>
      <c r="D15" s="7" t="s">
        <v>689</v>
      </c>
      <c r="E15" s="12" t="s">
        <v>690</v>
      </c>
      <c r="F15" s="3" t="s">
        <v>638</v>
      </c>
      <c r="G15" s="3" t="s">
        <v>622</v>
      </c>
      <c r="H15" s="3" t="s">
        <v>639</v>
      </c>
      <c r="I15" s="10" t="n">
        <v>2</v>
      </c>
      <c r="J15" s="10" t="n">
        <v>3</v>
      </c>
      <c r="K15" s="3" t="s">
        <v>624</v>
      </c>
      <c r="L15" s="3" t="s">
        <v>691</v>
      </c>
    </row>
    <row r="16" customFormat="false" ht="35.05" hidden="false" customHeight="false" outlineLevel="0" collapsed="false">
      <c r="A16" s="7" t="s">
        <v>692</v>
      </c>
      <c r="B16" s="7" t="s">
        <v>298</v>
      </c>
      <c r="C16" s="7" t="s">
        <v>693</v>
      </c>
      <c r="D16" s="7" t="s">
        <v>619</v>
      </c>
      <c r="E16" s="12" t="s">
        <v>694</v>
      </c>
      <c r="F16" s="3" t="s">
        <v>621</v>
      </c>
      <c r="G16" s="3" t="s">
        <v>622</v>
      </c>
      <c r="H16" s="3" t="s">
        <v>623</v>
      </c>
      <c r="I16" s="10" t="n">
        <v>2</v>
      </c>
      <c r="J16" s="10" t="n">
        <v>1</v>
      </c>
      <c r="K16" s="3" t="s">
        <v>695</v>
      </c>
      <c r="L16" s="3" t="s">
        <v>696</v>
      </c>
    </row>
    <row r="17" customFormat="false" ht="35.05" hidden="false" customHeight="false" outlineLevel="0" collapsed="false">
      <c r="A17" s="7" t="s">
        <v>697</v>
      </c>
      <c r="B17" s="7" t="s">
        <v>302</v>
      </c>
      <c r="C17" s="7" t="s">
        <v>698</v>
      </c>
      <c r="D17" s="7" t="s">
        <v>619</v>
      </c>
      <c r="E17" s="12" t="s">
        <v>699</v>
      </c>
      <c r="F17" s="3" t="s">
        <v>621</v>
      </c>
      <c r="G17" s="3" t="s">
        <v>622</v>
      </c>
      <c r="H17" s="3" t="s">
        <v>623</v>
      </c>
      <c r="I17" s="10" t="n">
        <v>2</v>
      </c>
      <c r="J17" s="10" t="n">
        <v>1</v>
      </c>
      <c r="K17" s="3" t="s">
        <v>695</v>
      </c>
      <c r="L17" s="3" t="s">
        <v>696</v>
      </c>
    </row>
    <row r="18" customFormat="false" ht="23.85" hidden="false" customHeight="false" outlineLevel="0" collapsed="false">
      <c r="A18" s="7" t="s">
        <v>700</v>
      </c>
      <c r="B18" s="7" t="s">
        <v>303</v>
      </c>
      <c r="C18" s="7" t="s">
        <v>701</v>
      </c>
      <c r="D18" s="7" t="s">
        <v>636</v>
      </c>
      <c r="E18" s="12" t="s">
        <v>702</v>
      </c>
      <c r="F18" s="3" t="s">
        <v>638</v>
      </c>
      <c r="G18" s="3" t="s">
        <v>622</v>
      </c>
      <c r="H18" s="3" t="s">
        <v>639</v>
      </c>
      <c r="I18" s="10" t="n">
        <v>1</v>
      </c>
      <c r="J18" s="10" t="n">
        <v>1</v>
      </c>
      <c r="K18" s="3" t="s">
        <v>624</v>
      </c>
      <c r="L18" s="3" t="s">
        <v>703</v>
      </c>
    </row>
    <row r="19" customFormat="false" ht="23.85" hidden="false" customHeight="false" outlineLevel="0" collapsed="false">
      <c r="A19" s="7" t="s">
        <v>704</v>
      </c>
      <c r="B19" s="7" t="s">
        <v>303</v>
      </c>
      <c r="C19" s="7" t="s">
        <v>705</v>
      </c>
      <c r="D19" s="7" t="s">
        <v>636</v>
      </c>
      <c r="E19" s="12" t="s">
        <v>706</v>
      </c>
      <c r="F19" s="3" t="s">
        <v>638</v>
      </c>
      <c r="G19" s="3" t="s">
        <v>622</v>
      </c>
      <c r="H19" s="3" t="s">
        <v>639</v>
      </c>
      <c r="I19" s="10" t="n">
        <v>1</v>
      </c>
      <c r="J19" s="10" t="n">
        <v>2</v>
      </c>
      <c r="K19" s="3" t="s">
        <v>624</v>
      </c>
      <c r="L19" s="3" t="s">
        <v>707</v>
      </c>
    </row>
    <row r="20" customFormat="false" ht="15" hidden="false" customHeight="false" outlineLevel="0" collapsed="false">
      <c r="A20" s="7" t="s">
        <v>708</v>
      </c>
      <c r="B20" s="7" t="s">
        <v>306</v>
      </c>
      <c r="C20" s="7" t="s">
        <v>709</v>
      </c>
      <c r="D20" s="7" t="s">
        <v>619</v>
      </c>
      <c r="E20" s="12" t="s">
        <v>710</v>
      </c>
      <c r="F20" s="3" t="s">
        <v>621</v>
      </c>
      <c r="G20" s="3" t="s">
        <v>622</v>
      </c>
      <c r="H20" s="3" t="s">
        <v>623</v>
      </c>
      <c r="I20" s="10" t="n">
        <v>1</v>
      </c>
      <c r="J20" s="10" t="n">
        <v>1</v>
      </c>
      <c r="K20" s="3" t="s">
        <v>624</v>
      </c>
      <c r="L20" s="3" t="s">
        <v>711</v>
      </c>
    </row>
    <row r="21" customFormat="false" ht="23.85" hidden="false" customHeight="false" outlineLevel="0" collapsed="false">
      <c r="A21" s="7" t="s">
        <v>712</v>
      </c>
      <c r="B21" s="7" t="s">
        <v>306</v>
      </c>
      <c r="C21" s="7" t="s">
        <v>713</v>
      </c>
      <c r="D21" s="7" t="s">
        <v>714</v>
      </c>
      <c r="E21" s="12" t="s">
        <v>715</v>
      </c>
      <c r="F21" s="3" t="s">
        <v>716</v>
      </c>
      <c r="G21" s="3" t="s">
        <v>622</v>
      </c>
      <c r="H21" s="3" t="s">
        <v>717</v>
      </c>
      <c r="I21" s="10" t="n">
        <v>1</v>
      </c>
      <c r="J21" s="10" t="n">
        <v>2</v>
      </c>
      <c r="K21" s="3" t="s">
        <v>632</v>
      </c>
      <c r="L21" s="3" t="s">
        <v>718</v>
      </c>
    </row>
    <row r="22" customFormat="false" ht="23.85" hidden="false" customHeight="false" outlineLevel="0" collapsed="false">
      <c r="A22" s="7" t="s">
        <v>719</v>
      </c>
      <c r="B22" s="7" t="s">
        <v>306</v>
      </c>
      <c r="C22" s="7" t="s">
        <v>720</v>
      </c>
      <c r="D22" s="7" t="s">
        <v>628</v>
      </c>
      <c r="E22" s="12" t="s">
        <v>721</v>
      </c>
      <c r="F22" s="3" t="s">
        <v>630</v>
      </c>
      <c r="G22" s="3" t="s">
        <v>622</v>
      </c>
      <c r="H22" s="3" t="s">
        <v>631</v>
      </c>
      <c r="I22" s="10" t="n">
        <v>1</v>
      </c>
      <c r="J22" s="10" t="n">
        <v>3</v>
      </c>
      <c r="K22" s="3" t="s">
        <v>624</v>
      </c>
      <c r="L22" s="3" t="s">
        <v>722</v>
      </c>
    </row>
    <row r="23" customFormat="false" ht="23.85" hidden="false" customHeight="false" outlineLevel="0" collapsed="false">
      <c r="A23" s="3" t="s">
        <v>723</v>
      </c>
      <c r="B23" s="3" t="s">
        <v>306</v>
      </c>
      <c r="C23" s="3" t="s">
        <v>724</v>
      </c>
      <c r="D23" s="3" t="s">
        <v>647</v>
      </c>
      <c r="E23" s="12" t="s">
        <v>725</v>
      </c>
      <c r="F23" s="3" t="s">
        <v>649</v>
      </c>
      <c r="G23" s="3" t="s">
        <v>622</v>
      </c>
      <c r="H23" s="3" t="s">
        <v>650</v>
      </c>
      <c r="I23" s="10" t="n">
        <v>2</v>
      </c>
      <c r="J23" s="10"/>
      <c r="K23" s="3" t="s">
        <v>632</v>
      </c>
      <c r="L23" s="3" t="s">
        <v>726</v>
      </c>
    </row>
    <row r="24" customFormat="false" ht="23.85" hidden="false" customHeight="false" outlineLevel="0" collapsed="false">
      <c r="A24" s="7" t="s">
        <v>727</v>
      </c>
      <c r="B24" s="7" t="s">
        <v>312</v>
      </c>
      <c r="C24" s="7" t="s">
        <v>728</v>
      </c>
      <c r="D24" s="7" t="s">
        <v>619</v>
      </c>
      <c r="E24" s="12" t="s">
        <v>729</v>
      </c>
      <c r="F24" s="3" t="s">
        <v>621</v>
      </c>
      <c r="G24" s="3" t="s">
        <v>622</v>
      </c>
      <c r="H24" s="3" t="s">
        <v>623</v>
      </c>
      <c r="I24" s="10" t="n">
        <v>1</v>
      </c>
      <c r="J24" s="10" t="n">
        <v>1</v>
      </c>
      <c r="K24" s="3" t="s">
        <v>632</v>
      </c>
      <c r="L24" s="3" t="s">
        <v>730</v>
      </c>
    </row>
    <row r="25" customFormat="false" ht="15" hidden="false" customHeight="false" outlineLevel="0" collapsed="false">
      <c r="A25" s="7" t="s">
        <v>731</v>
      </c>
      <c r="B25" s="7" t="s">
        <v>312</v>
      </c>
      <c r="C25" s="7" t="s">
        <v>732</v>
      </c>
      <c r="D25" s="7" t="s">
        <v>628</v>
      </c>
      <c r="E25" s="12" t="s">
        <v>733</v>
      </c>
      <c r="F25" s="3" t="s">
        <v>630</v>
      </c>
      <c r="G25" s="3" t="s">
        <v>622</v>
      </c>
      <c r="H25" s="3" t="s">
        <v>631</v>
      </c>
      <c r="I25" s="10" t="n">
        <v>1</v>
      </c>
      <c r="J25" s="10" t="n">
        <v>2</v>
      </c>
      <c r="K25" s="3" t="s">
        <v>624</v>
      </c>
      <c r="L25" s="3" t="s">
        <v>734</v>
      </c>
    </row>
    <row r="26" customFormat="false" ht="23.85" hidden="false" customHeight="false" outlineLevel="0" collapsed="false">
      <c r="A26" s="7" t="s">
        <v>735</v>
      </c>
      <c r="B26" s="7" t="s">
        <v>312</v>
      </c>
      <c r="C26" s="7" t="s">
        <v>736</v>
      </c>
      <c r="D26" s="7" t="s">
        <v>647</v>
      </c>
      <c r="E26" s="12" t="s">
        <v>737</v>
      </c>
      <c r="F26" s="3" t="s">
        <v>649</v>
      </c>
      <c r="G26" s="3" t="s">
        <v>622</v>
      </c>
      <c r="H26" s="3" t="s">
        <v>650</v>
      </c>
      <c r="I26" s="10" t="n">
        <v>1</v>
      </c>
      <c r="J26" s="10" t="n">
        <v>3</v>
      </c>
      <c r="K26" s="3" t="s">
        <v>624</v>
      </c>
      <c r="L26" s="3" t="s">
        <v>738</v>
      </c>
    </row>
    <row r="27" customFormat="false" ht="15" hidden="false" customHeight="false" outlineLevel="0" collapsed="false">
      <c r="A27" s="3" t="s">
        <v>739</v>
      </c>
      <c r="B27" s="3" t="s">
        <v>312</v>
      </c>
      <c r="C27" s="3" t="s">
        <v>740</v>
      </c>
      <c r="D27" s="3" t="s">
        <v>619</v>
      </c>
      <c r="E27" s="12" t="s">
        <v>741</v>
      </c>
      <c r="F27" s="3" t="s">
        <v>621</v>
      </c>
      <c r="G27" s="3" t="s">
        <v>622</v>
      </c>
      <c r="H27" s="3" t="s">
        <v>623</v>
      </c>
      <c r="I27" s="10" t="n">
        <v>2</v>
      </c>
      <c r="J27" s="10"/>
      <c r="K27" s="3" t="s">
        <v>624</v>
      </c>
      <c r="L27" s="3" t="s">
        <v>742</v>
      </c>
    </row>
    <row r="28" customFormat="false" ht="23.85" hidden="false" customHeight="false" outlineLevel="0" collapsed="false">
      <c r="A28" s="7" t="s">
        <v>743</v>
      </c>
      <c r="B28" s="7" t="s">
        <v>316</v>
      </c>
      <c r="C28" s="7" t="s">
        <v>744</v>
      </c>
      <c r="D28" s="7" t="s">
        <v>636</v>
      </c>
      <c r="E28" s="12" t="s">
        <v>745</v>
      </c>
      <c r="F28" s="3" t="s">
        <v>716</v>
      </c>
      <c r="G28" s="3" t="s">
        <v>622</v>
      </c>
      <c r="H28" s="3" t="s">
        <v>746</v>
      </c>
      <c r="I28" s="10" t="n">
        <v>1</v>
      </c>
      <c r="J28" s="10" t="n">
        <v>1</v>
      </c>
      <c r="K28" s="3" t="s">
        <v>624</v>
      </c>
      <c r="L28" s="3" t="s">
        <v>747</v>
      </c>
    </row>
    <row r="29" customFormat="false" ht="23.85" hidden="false" customHeight="false" outlineLevel="0" collapsed="false">
      <c r="A29" s="7" t="s">
        <v>748</v>
      </c>
      <c r="B29" s="7" t="s">
        <v>316</v>
      </c>
      <c r="C29" s="7" t="s">
        <v>749</v>
      </c>
      <c r="D29" s="7" t="s">
        <v>714</v>
      </c>
      <c r="E29" s="12" t="s">
        <v>750</v>
      </c>
      <c r="F29" s="3" t="s">
        <v>716</v>
      </c>
      <c r="G29" s="3" t="s">
        <v>622</v>
      </c>
      <c r="H29" s="3" t="s">
        <v>746</v>
      </c>
      <c r="I29" s="10" t="n">
        <v>1</v>
      </c>
      <c r="J29" s="10" t="n">
        <v>2</v>
      </c>
      <c r="K29" s="3" t="s">
        <v>624</v>
      </c>
      <c r="L29" s="3" t="s">
        <v>751</v>
      </c>
    </row>
    <row r="30" customFormat="false" ht="35.05" hidden="false" customHeight="false" outlineLevel="0" collapsed="false">
      <c r="A30" s="7" t="s">
        <v>752</v>
      </c>
      <c r="B30" s="7" t="s">
        <v>316</v>
      </c>
      <c r="C30" s="7" t="s">
        <v>753</v>
      </c>
      <c r="D30" s="7" t="s">
        <v>628</v>
      </c>
      <c r="E30" s="12" t="s">
        <v>754</v>
      </c>
      <c r="F30" s="3" t="s">
        <v>630</v>
      </c>
      <c r="G30" s="3" t="s">
        <v>622</v>
      </c>
      <c r="H30" s="3" t="s">
        <v>631</v>
      </c>
      <c r="I30" s="10" t="n">
        <v>1</v>
      </c>
      <c r="J30" s="10" t="n">
        <v>3</v>
      </c>
      <c r="K30" s="3" t="s">
        <v>755</v>
      </c>
      <c r="L30" s="3" t="s">
        <v>756</v>
      </c>
    </row>
    <row r="31" customFormat="false" ht="35.05" hidden="false" customHeight="false" outlineLevel="0" collapsed="false">
      <c r="A31" s="3" t="s">
        <v>757</v>
      </c>
      <c r="B31" s="3" t="s">
        <v>316</v>
      </c>
      <c r="C31" s="3" t="s">
        <v>758</v>
      </c>
      <c r="D31" s="3" t="s">
        <v>619</v>
      </c>
      <c r="E31" s="12" t="s">
        <v>759</v>
      </c>
      <c r="F31" s="3" t="s">
        <v>621</v>
      </c>
      <c r="G31" s="3" t="s">
        <v>622</v>
      </c>
      <c r="H31" s="3" t="s">
        <v>623</v>
      </c>
      <c r="I31" s="10" t="n">
        <v>2</v>
      </c>
      <c r="J31" s="10"/>
      <c r="K31" s="3" t="s">
        <v>755</v>
      </c>
      <c r="L31" s="3" t="s">
        <v>760</v>
      </c>
    </row>
    <row r="32" customFormat="false" ht="15" hidden="false" customHeight="false" outlineLevel="0" collapsed="false">
      <c r="A32" s="3" t="s">
        <v>761</v>
      </c>
      <c r="B32" s="3" t="s">
        <v>316</v>
      </c>
      <c r="C32" s="3" t="s">
        <v>762</v>
      </c>
      <c r="D32" s="3" t="s">
        <v>714</v>
      </c>
      <c r="E32" s="12" t="s">
        <v>763</v>
      </c>
      <c r="F32" s="3" t="s">
        <v>716</v>
      </c>
      <c r="G32" s="3" t="s">
        <v>764</v>
      </c>
      <c r="H32" s="3" t="s">
        <v>765</v>
      </c>
      <c r="I32" s="10" t="n">
        <v>3</v>
      </c>
      <c r="J32" s="10"/>
      <c r="K32" s="3" t="s">
        <v>624</v>
      </c>
      <c r="L32" s="3" t="s">
        <v>766</v>
      </c>
    </row>
    <row r="33" customFormat="false" ht="35.05" hidden="false" customHeight="false" outlineLevel="0" collapsed="false">
      <c r="A33" s="7" t="s">
        <v>767</v>
      </c>
      <c r="B33" s="7" t="s">
        <v>321</v>
      </c>
      <c r="C33" s="7" t="s">
        <v>768</v>
      </c>
      <c r="D33" s="7" t="s">
        <v>628</v>
      </c>
      <c r="E33" s="12" t="s">
        <v>769</v>
      </c>
      <c r="F33" s="3" t="s">
        <v>630</v>
      </c>
      <c r="G33" s="3" t="s">
        <v>622</v>
      </c>
      <c r="H33" s="3" t="s">
        <v>631</v>
      </c>
      <c r="I33" s="10" t="n">
        <v>1</v>
      </c>
      <c r="J33" s="10" t="n">
        <v>1</v>
      </c>
      <c r="K33" s="3" t="s">
        <v>695</v>
      </c>
      <c r="L33" s="3" t="s">
        <v>770</v>
      </c>
    </row>
    <row r="34" customFormat="false" ht="35.05" hidden="false" customHeight="false" outlineLevel="0" collapsed="false">
      <c r="A34" s="7" t="s">
        <v>771</v>
      </c>
      <c r="B34" s="7" t="s">
        <v>321</v>
      </c>
      <c r="C34" s="7" t="s">
        <v>772</v>
      </c>
      <c r="D34" s="7" t="s">
        <v>619</v>
      </c>
      <c r="E34" s="12" t="s">
        <v>773</v>
      </c>
      <c r="F34" s="3" t="s">
        <v>621</v>
      </c>
      <c r="G34" s="3" t="s">
        <v>622</v>
      </c>
      <c r="H34" s="3" t="s">
        <v>623</v>
      </c>
      <c r="I34" s="10" t="n">
        <v>2</v>
      </c>
      <c r="J34" s="10" t="n">
        <v>2</v>
      </c>
      <c r="K34" s="3" t="s">
        <v>695</v>
      </c>
      <c r="L34" s="3" t="s">
        <v>774</v>
      </c>
    </row>
    <row r="35" customFormat="false" ht="35.05" hidden="false" customHeight="false" outlineLevel="0" collapsed="false">
      <c r="A35" s="7" t="s">
        <v>775</v>
      </c>
      <c r="B35" s="7" t="s">
        <v>323</v>
      </c>
      <c r="C35" s="7" t="s">
        <v>776</v>
      </c>
      <c r="D35" s="7" t="s">
        <v>628</v>
      </c>
      <c r="E35" s="12" t="s">
        <v>777</v>
      </c>
      <c r="F35" s="3" t="s">
        <v>630</v>
      </c>
      <c r="G35" s="3" t="s">
        <v>622</v>
      </c>
      <c r="H35" s="3" t="s">
        <v>631</v>
      </c>
      <c r="I35" s="10" t="n">
        <v>1</v>
      </c>
      <c r="J35" s="10" t="n">
        <v>1</v>
      </c>
      <c r="K35" s="3" t="s">
        <v>755</v>
      </c>
      <c r="L35" s="3" t="s">
        <v>778</v>
      </c>
    </row>
    <row r="36" customFormat="false" ht="15" hidden="false" customHeight="false" outlineLevel="0" collapsed="false">
      <c r="A36" s="7" t="s">
        <v>779</v>
      </c>
      <c r="B36" s="7" t="s">
        <v>323</v>
      </c>
      <c r="C36" s="7" t="s">
        <v>780</v>
      </c>
      <c r="D36" s="7" t="s">
        <v>619</v>
      </c>
      <c r="E36" s="12" t="s">
        <v>781</v>
      </c>
      <c r="F36" s="3" t="s">
        <v>621</v>
      </c>
      <c r="G36" s="3" t="s">
        <v>622</v>
      </c>
      <c r="H36" s="3" t="s">
        <v>623</v>
      </c>
      <c r="I36" s="10" t="n">
        <v>1</v>
      </c>
      <c r="J36" s="10" t="n">
        <v>2</v>
      </c>
      <c r="K36" s="3" t="s">
        <v>624</v>
      </c>
      <c r="L36" s="3" t="s">
        <v>782</v>
      </c>
    </row>
    <row r="37" customFormat="false" ht="15" hidden="false" customHeight="false" outlineLevel="0" collapsed="false">
      <c r="A37" s="7" t="s">
        <v>783</v>
      </c>
      <c r="B37" s="7" t="s">
        <v>323</v>
      </c>
      <c r="C37" s="7" t="s">
        <v>784</v>
      </c>
      <c r="D37" s="7" t="s">
        <v>619</v>
      </c>
      <c r="E37" s="12" t="s">
        <v>785</v>
      </c>
      <c r="F37" s="3" t="s">
        <v>621</v>
      </c>
      <c r="G37" s="3" t="s">
        <v>622</v>
      </c>
      <c r="H37" s="3" t="s">
        <v>623</v>
      </c>
      <c r="I37" s="10" t="n">
        <v>1</v>
      </c>
      <c r="J37" s="10" t="n">
        <v>3</v>
      </c>
      <c r="K37" s="3" t="s">
        <v>624</v>
      </c>
      <c r="L37" s="3" t="s">
        <v>786</v>
      </c>
    </row>
    <row r="38" customFormat="false" ht="15" hidden="false" customHeight="false" outlineLevel="0" collapsed="false">
      <c r="A38" s="7" t="s">
        <v>787</v>
      </c>
      <c r="B38" s="7" t="s">
        <v>328</v>
      </c>
      <c r="C38" s="7" t="s">
        <v>788</v>
      </c>
      <c r="D38" s="7" t="s">
        <v>619</v>
      </c>
      <c r="E38" s="12" t="s">
        <v>789</v>
      </c>
      <c r="F38" s="3" t="s">
        <v>621</v>
      </c>
      <c r="G38" s="3" t="s">
        <v>622</v>
      </c>
      <c r="H38" s="3" t="s">
        <v>623</v>
      </c>
      <c r="I38" s="10" t="n">
        <v>1</v>
      </c>
      <c r="J38" s="10" t="n">
        <v>1</v>
      </c>
      <c r="K38" s="3" t="s">
        <v>624</v>
      </c>
      <c r="L38" s="3" t="s">
        <v>790</v>
      </c>
    </row>
    <row r="39" customFormat="false" ht="23.85" hidden="false" customHeight="false" outlineLevel="0" collapsed="false">
      <c r="A39" s="7" t="s">
        <v>791</v>
      </c>
      <c r="B39" s="7" t="s">
        <v>328</v>
      </c>
      <c r="C39" s="7" t="s">
        <v>792</v>
      </c>
      <c r="D39" s="7" t="s">
        <v>636</v>
      </c>
      <c r="E39" s="12" t="s">
        <v>793</v>
      </c>
      <c r="F39" s="3" t="s">
        <v>638</v>
      </c>
      <c r="G39" s="3" t="s">
        <v>622</v>
      </c>
      <c r="H39" s="3" t="s">
        <v>639</v>
      </c>
      <c r="I39" s="10" t="n">
        <v>2</v>
      </c>
      <c r="J39" s="10" t="n">
        <v>2</v>
      </c>
      <c r="K39" s="3" t="s">
        <v>624</v>
      </c>
      <c r="L39" s="3" t="s">
        <v>794</v>
      </c>
    </row>
    <row r="40" customFormat="false" ht="23.85" hidden="false" customHeight="false" outlineLevel="0" collapsed="false">
      <c r="A40" s="7" t="s">
        <v>795</v>
      </c>
      <c r="B40" s="7" t="s">
        <v>330</v>
      </c>
      <c r="C40" s="7" t="s">
        <v>796</v>
      </c>
      <c r="D40" s="7" t="s">
        <v>636</v>
      </c>
      <c r="E40" s="12" t="s">
        <v>797</v>
      </c>
      <c r="F40" s="3" t="s">
        <v>638</v>
      </c>
      <c r="G40" s="3" t="s">
        <v>622</v>
      </c>
      <c r="H40" s="3" t="s">
        <v>639</v>
      </c>
      <c r="I40" s="10" t="n">
        <v>1</v>
      </c>
      <c r="J40" s="10" t="n">
        <v>1</v>
      </c>
      <c r="K40" s="3" t="s">
        <v>624</v>
      </c>
      <c r="L40" s="3" t="s">
        <v>798</v>
      </c>
    </row>
    <row r="41" customFormat="false" ht="23.85" hidden="false" customHeight="false" outlineLevel="0" collapsed="false">
      <c r="A41" s="7" t="s">
        <v>799</v>
      </c>
      <c r="B41" s="7" t="s">
        <v>331</v>
      </c>
      <c r="C41" s="7" t="s">
        <v>800</v>
      </c>
      <c r="D41" s="7" t="s">
        <v>636</v>
      </c>
      <c r="E41" s="12" t="s">
        <v>801</v>
      </c>
      <c r="F41" s="3" t="s">
        <v>638</v>
      </c>
      <c r="G41" s="3" t="s">
        <v>622</v>
      </c>
      <c r="H41" s="3" t="s">
        <v>639</v>
      </c>
      <c r="I41" s="10" t="n">
        <v>1</v>
      </c>
      <c r="J41" s="10" t="n">
        <v>1</v>
      </c>
      <c r="K41" s="3" t="s">
        <v>624</v>
      </c>
      <c r="L41" s="3" t="s">
        <v>802</v>
      </c>
    </row>
    <row r="42" customFormat="false" ht="23.85" hidden="false" customHeight="false" outlineLevel="0" collapsed="false">
      <c r="A42" s="7" t="s">
        <v>803</v>
      </c>
      <c r="B42" s="7" t="s">
        <v>331</v>
      </c>
      <c r="C42" s="7" t="s">
        <v>804</v>
      </c>
      <c r="D42" s="7" t="s">
        <v>619</v>
      </c>
      <c r="E42" s="12" t="s">
        <v>805</v>
      </c>
      <c r="F42" s="3" t="s">
        <v>621</v>
      </c>
      <c r="G42" s="3" t="s">
        <v>622</v>
      </c>
      <c r="H42" s="3" t="s">
        <v>623</v>
      </c>
      <c r="I42" s="10" t="n">
        <v>1</v>
      </c>
      <c r="J42" s="10" t="n">
        <v>2</v>
      </c>
      <c r="K42" s="3" t="s">
        <v>624</v>
      </c>
      <c r="L42" s="3" t="s">
        <v>806</v>
      </c>
    </row>
    <row r="43" customFormat="false" ht="23.85" hidden="false" customHeight="false" outlineLevel="0" collapsed="false">
      <c r="A43" s="7" t="s">
        <v>807</v>
      </c>
      <c r="B43" s="7" t="s">
        <v>333</v>
      </c>
      <c r="C43" s="7" t="s">
        <v>808</v>
      </c>
      <c r="D43" s="7" t="s">
        <v>628</v>
      </c>
      <c r="E43" s="12" t="s">
        <v>809</v>
      </c>
      <c r="F43" s="3" t="s">
        <v>630</v>
      </c>
      <c r="G43" s="3" t="s">
        <v>622</v>
      </c>
      <c r="H43" s="3" t="s">
        <v>631</v>
      </c>
      <c r="I43" s="10" t="n">
        <v>1</v>
      </c>
      <c r="J43" s="10" t="n">
        <v>1</v>
      </c>
      <c r="K43" s="3" t="s">
        <v>632</v>
      </c>
      <c r="L43" s="3" t="s">
        <v>810</v>
      </c>
    </row>
    <row r="44" customFormat="false" ht="23.85" hidden="false" customHeight="false" outlineLevel="0" collapsed="false">
      <c r="A44" s="7" t="s">
        <v>811</v>
      </c>
      <c r="B44" s="7" t="s">
        <v>333</v>
      </c>
      <c r="C44" s="7" t="s">
        <v>812</v>
      </c>
      <c r="D44" s="7" t="s">
        <v>636</v>
      </c>
      <c r="E44" s="12" t="s">
        <v>813</v>
      </c>
      <c r="F44" s="3" t="s">
        <v>638</v>
      </c>
      <c r="G44" s="3" t="s">
        <v>622</v>
      </c>
      <c r="H44" s="3" t="s">
        <v>639</v>
      </c>
      <c r="I44" s="10" t="n">
        <v>1</v>
      </c>
      <c r="J44" s="10" t="n">
        <v>2</v>
      </c>
      <c r="K44" s="3" t="s">
        <v>624</v>
      </c>
      <c r="L44" s="3" t="s">
        <v>814</v>
      </c>
    </row>
    <row r="45" customFormat="false" ht="23.85" hidden="false" customHeight="false" outlineLevel="0" collapsed="false">
      <c r="A45" s="7" t="s">
        <v>815</v>
      </c>
      <c r="B45" s="7" t="s">
        <v>333</v>
      </c>
      <c r="C45" s="7" t="s">
        <v>816</v>
      </c>
      <c r="D45" s="7" t="s">
        <v>636</v>
      </c>
      <c r="E45" s="12" t="s">
        <v>817</v>
      </c>
      <c r="F45" s="3" t="s">
        <v>638</v>
      </c>
      <c r="G45" s="3" t="s">
        <v>622</v>
      </c>
      <c r="H45" s="3" t="s">
        <v>639</v>
      </c>
      <c r="I45" s="10" t="n">
        <v>2</v>
      </c>
      <c r="J45" s="10" t="n">
        <v>3</v>
      </c>
      <c r="K45" s="3" t="s">
        <v>624</v>
      </c>
      <c r="L45" s="3" t="s">
        <v>818</v>
      </c>
    </row>
    <row r="46" customFormat="false" ht="23.85" hidden="false" customHeight="false" outlineLevel="0" collapsed="false">
      <c r="A46" s="3" t="s">
        <v>819</v>
      </c>
      <c r="B46" s="3" t="s">
        <v>333</v>
      </c>
      <c r="C46" s="3" t="s">
        <v>820</v>
      </c>
      <c r="D46" s="3" t="s">
        <v>636</v>
      </c>
      <c r="E46" s="12" t="s">
        <v>821</v>
      </c>
      <c r="F46" s="3" t="s">
        <v>638</v>
      </c>
      <c r="G46" s="3" t="s">
        <v>622</v>
      </c>
      <c r="H46" s="3" t="s">
        <v>639</v>
      </c>
      <c r="I46" s="10" t="n">
        <v>2</v>
      </c>
      <c r="J46" s="10"/>
      <c r="K46" s="3" t="s">
        <v>624</v>
      </c>
      <c r="L46" s="3" t="s">
        <v>822</v>
      </c>
    </row>
    <row r="47" customFormat="false" ht="23.85" hidden="false" customHeight="false" outlineLevel="0" collapsed="false">
      <c r="A47" s="3" t="s">
        <v>823</v>
      </c>
      <c r="B47" s="3" t="s">
        <v>333</v>
      </c>
      <c r="C47" s="3" t="s">
        <v>824</v>
      </c>
      <c r="D47" s="3" t="s">
        <v>636</v>
      </c>
      <c r="E47" s="12" t="s">
        <v>825</v>
      </c>
      <c r="F47" s="3" t="s">
        <v>638</v>
      </c>
      <c r="G47" s="3" t="s">
        <v>622</v>
      </c>
      <c r="H47" s="3" t="s">
        <v>639</v>
      </c>
      <c r="I47" s="10" t="n">
        <v>2</v>
      </c>
      <c r="J47" s="10"/>
      <c r="K47" s="3" t="s">
        <v>624</v>
      </c>
      <c r="L47" s="3" t="s">
        <v>826</v>
      </c>
    </row>
    <row r="48" customFormat="false" ht="35.05" hidden="false" customHeight="false" outlineLevel="0" collapsed="false">
      <c r="A48" s="7" t="s">
        <v>827</v>
      </c>
      <c r="B48" s="7" t="s">
        <v>335</v>
      </c>
      <c r="C48" s="7" t="s">
        <v>828</v>
      </c>
      <c r="D48" s="7" t="s">
        <v>628</v>
      </c>
      <c r="E48" s="12" t="s">
        <v>829</v>
      </c>
      <c r="F48" s="3" t="s">
        <v>630</v>
      </c>
      <c r="G48" s="3" t="s">
        <v>622</v>
      </c>
      <c r="H48" s="3" t="s">
        <v>631</v>
      </c>
      <c r="I48" s="10" t="n">
        <v>3</v>
      </c>
      <c r="J48" s="10" t="n">
        <v>1</v>
      </c>
      <c r="K48" s="3" t="s">
        <v>695</v>
      </c>
      <c r="L48" s="3" t="s">
        <v>830</v>
      </c>
    </row>
    <row r="49" customFormat="false" ht="23.85" hidden="false" customHeight="false" outlineLevel="0" collapsed="false">
      <c r="A49" s="7" t="s">
        <v>831</v>
      </c>
      <c r="B49" s="7" t="s">
        <v>337</v>
      </c>
      <c r="C49" s="7" t="s">
        <v>832</v>
      </c>
      <c r="D49" s="7" t="s">
        <v>636</v>
      </c>
      <c r="E49" s="12" t="s">
        <v>833</v>
      </c>
      <c r="F49" s="3" t="s">
        <v>638</v>
      </c>
      <c r="G49" s="3" t="s">
        <v>622</v>
      </c>
      <c r="H49" s="3" t="s">
        <v>639</v>
      </c>
      <c r="I49" s="10" t="n">
        <v>1</v>
      </c>
      <c r="J49" s="10" t="n">
        <v>1</v>
      </c>
      <c r="K49" s="3" t="s">
        <v>624</v>
      </c>
      <c r="L49" s="3" t="s">
        <v>834</v>
      </c>
    </row>
    <row r="50" customFormat="false" ht="15" hidden="false" customHeight="false" outlineLevel="0" collapsed="false">
      <c r="A50" s="7" t="s">
        <v>835</v>
      </c>
      <c r="B50" s="7" t="s">
        <v>340</v>
      </c>
      <c r="C50" s="7" t="s">
        <v>836</v>
      </c>
      <c r="D50" s="7" t="s">
        <v>619</v>
      </c>
      <c r="E50" s="12" t="s">
        <v>837</v>
      </c>
      <c r="F50" s="3" t="s">
        <v>621</v>
      </c>
      <c r="G50" s="3" t="s">
        <v>622</v>
      </c>
      <c r="H50" s="3" t="s">
        <v>623</v>
      </c>
      <c r="I50" s="10" t="n">
        <v>1</v>
      </c>
      <c r="J50" s="10" t="n">
        <v>1</v>
      </c>
      <c r="K50" s="3" t="s">
        <v>624</v>
      </c>
      <c r="L50" s="3" t="s">
        <v>838</v>
      </c>
    </row>
    <row r="51" customFormat="false" ht="23.85" hidden="false" customHeight="false" outlineLevel="0" collapsed="false">
      <c r="A51" s="7" t="s">
        <v>839</v>
      </c>
      <c r="B51" s="7" t="s">
        <v>340</v>
      </c>
      <c r="C51" s="7" t="s">
        <v>840</v>
      </c>
      <c r="D51" s="7" t="s">
        <v>636</v>
      </c>
      <c r="E51" s="12" t="s">
        <v>841</v>
      </c>
      <c r="F51" s="3" t="s">
        <v>621</v>
      </c>
      <c r="G51" s="3" t="s">
        <v>622</v>
      </c>
      <c r="H51" s="3" t="s">
        <v>639</v>
      </c>
      <c r="I51" s="10" t="n">
        <v>1</v>
      </c>
      <c r="J51" s="10" t="n">
        <v>2</v>
      </c>
      <c r="K51" s="3" t="s">
        <v>632</v>
      </c>
      <c r="L51" s="3" t="s">
        <v>842</v>
      </c>
    </row>
    <row r="52" customFormat="false" ht="15" hidden="false" customHeight="false" outlineLevel="0" collapsed="false">
      <c r="A52" s="7" t="s">
        <v>843</v>
      </c>
      <c r="B52" s="7" t="s">
        <v>340</v>
      </c>
      <c r="C52" s="7" t="s">
        <v>844</v>
      </c>
      <c r="D52" s="7" t="s">
        <v>845</v>
      </c>
      <c r="E52" s="12" t="s">
        <v>846</v>
      </c>
      <c r="F52" s="3" t="s">
        <v>621</v>
      </c>
      <c r="G52" s="3" t="s">
        <v>622</v>
      </c>
      <c r="H52" s="3" t="s">
        <v>623</v>
      </c>
      <c r="I52" s="10" t="n">
        <v>3</v>
      </c>
      <c r="J52" s="10" t="n">
        <v>3</v>
      </c>
      <c r="K52" s="3" t="s">
        <v>624</v>
      </c>
      <c r="L52" s="3" t="s">
        <v>847</v>
      </c>
    </row>
    <row r="53" customFormat="false" ht="23.85" hidden="false" customHeight="false" outlineLevel="0" collapsed="false">
      <c r="A53" s="3" t="s">
        <v>848</v>
      </c>
      <c r="B53" s="3" t="s">
        <v>340</v>
      </c>
      <c r="C53" s="3" t="s">
        <v>849</v>
      </c>
      <c r="D53" s="3" t="s">
        <v>636</v>
      </c>
      <c r="E53" s="12" t="s">
        <v>706</v>
      </c>
      <c r="F53" s="3" t="s">
        <v>638</v>
      </c>
      <c r="G53" s="3" t="s">
        <v>622</v>
      </c>
      <c r="H53" s="3" t="s">
        <v>639</v>
      </c>
      <c r="I53" s="10" t="n">
        <v>1</v>
      </c>
      <c r="J53" s="10"/>
      <c r="K53" s="3" t="s">
        <v>624</v>
      </c>
      <c r="L53" s="3" t="s">
        <v>850</v>
      </c>
    </row>
    <row r="54" customFormat="false" ht="15" hidden="false" customHeight="false" outlineLevel="0" collapsed="false">
      <c r="A54" s="7" t="s">
        <v>851</v>
      </c>
      <c r="B54" s="7" t="s">
        <v>341</v>
      </c>
      <c r="C54" s="7" t="s">
        <v>852</v>
      </c>
      <c r="D54" s="7" t="s">
        <v>714</v>
      </c>
      <c r="E54" s="12" t="s">
        <v>853</v>
      </c>
      <c r="F54" s="3" t="s">
        <v>716</v>
      </c>
      <c r="G54" s="3" t="s">
        <v>622</v>
      </c>
      <c r="H54" s="3" t="s">
        <v>746</v>
      </c>
      <c r="I54" s="10" t="n">
        <v>1</v>
      </c>
      <c r="J54" s="10" t="n">
        <v>1</v>
      </c>
      <c r="K54" s="3" t="s">
        <v>624</v>
      </c>
      <c r="L54" s="3" t="s">
        <v>854</v>
      </c>
    </row>
    <row r="55" customFormat="false" ht="15" hidden="false" customHeight="false" outlineLevel="0" collapsed="false">
      <c r="A55" s="7" t="s">
        <v>855</v>
      </c>
      <c r="B55" s="7" t="s">
        <v>341</v>
      </c>
      <c r="C55" s="7" t="s">
        <v>856</v>
      </c>
      <c r="D55" s="7" t="s">
        <v>619</v>
      </c>
      <c r="E55" s="12" t="s">
        <v>857</v>
      </c>
      <c r="F55" s="3" t="s">
        <v>638</v>
      </c>
      <c r="G55" s="3" t="s">
        <v>622</v>
      </c>
      <c r="H55" s="3" t="s">
        <v>639</v>
      </c>
      <c r="I55" s="10" t="n">
        <v>1</v>
      </c>
      <c r="J55" s="10" t="n">
        <v>2</v>
      </c>
      <c r="K55" s="3" t="s">
        <v>624</v>
      </c>
      <c r="L55" s="3" t="s">
        <v>858</v>
      </c>
    </row>
    <row r="56" customFormat="false" ht="23.85" hidden="false" customHeight="false" outlineLevel="0" collapsed="false">
      <c r="A56" s="7" t="s">
        <v>859</v>
      </c>
      <c r="B56" s="7" t="s">
        <v>341</v>
      </c>
      <c r="C56" s="7" t="s">
        <v>860</v>
      </c>
      <c r="D56" s="7" t="s">
        <v>636</v>
      </c>
      <c r="E56" s="12" t="s">
        <v>861</v>
      </c>
      <c r="F56" s="3" t="s">
        <v>638</v>
      </c>
      <c r="G56" s="3" t="s">
        <v>622</v>
      </c>
      <c r="H56" s="3" t="s">
        <v>639</v>
      </c>
      <c r="I56" s="10" t="n">
        <v>2</v>
      </c>
      <c r="J56" s="10" t="n">
        <v>3</v>
      </c>
      <c r="K56" s="3" t="s">
        <v>624</v>
      </c>
      <c r="L56" s="3" t="s">
        <v>862</v>
      </c>
    </row>
    <row r="57" customFormat="false" ht="23.85" hidden="false" customHeight="false" outlineLevel="0" collapsed="false">
      <c r="A57" s="7" t="s">
        <v>863</v>
      </c>
      <c r="B57" s="7" t="s">
        <v>342</v>
      </c>
      <c r="C57" s="7" t="s">
        <v>864</v>
      </c>
      <c r="D57" s="7" t="s">
        <v>636</v>
      </c>
      <c r="E57" s="12" t="s">
        <v>865</v>
      </c>
      <c r="F57" s="3" t="s">
        <v>638</v>
      </c>
      <c r="G57" s="3" t="s">
        <v>622</v>
      </c>
      <c r="H57" s="3" t="s">
        <v>639</v>
      </c>
      <c r="I57" s="10" t="n">
        <v>1</v>
      </c>
      <c r="J57" s="10" t="n">
        <v>1</v>
      </c>
      <c r="K57" s="3" t="s">
        <v>624</v>
      </c>
      <c r="L57" s="3" t="s">
        <v>866</v>
      </c>
    </row>
    <row r="58" customFormat="false" ht="23.85" hidden="false" customHeight="false" outlineLevel="0" collapsed="false">
      <c r="A58" s="7" t="s">
        <v>867</v>
      </c>
      <c r="B58" s="7" t="s">
        <v>342</v>
      </c>
      <c r="C58" s="7" t="s">
        <v>868</v>
      </c>
      <c r="D58" s="7" t="s">
        <v>647</v>
      </c>
      <c r="E58" s="12" t="s">
        <v>869</v>
      </c>
      <c r="F58" s="3" t="s">
        <v>649</v>
      </c>
      <c r="G58" s="3" t="s">
        <v>622</v>
      </c>
      <c r="H58" s="3" t="s">
        <v>650</v>
      </c>
      <c r="I58" s="10" t="n">
        <v>1</v>
      </c>
      <c r="J58" s="10" t="n">
        <v>2</v>
      </c>
      <c r="K58" s="3" t="s">
        <v>624</v>
      </c>
      <c r="L58" s="3" t="s">
        <v>870</v>
      </c>
    </row>
    <row r="59" customFormat="false" ht="15" hidden="false" customHeight="false" outlineLevel="0" collapsed="false">
      <c r="A59" s="7" t="s">
        <v>871</v>
      </c>
      <c r="B59" s="7" t="s">
        <v>342</v>
      </c>
      <c r="C59" s="7" t="s">
        <v>872</v>
      </c>
      <c r="D59" s="7" t="s">
        <v>619</v>
      </c>
      <c r="E59" s="12" t="s">
        <v>873</v>
      </c>
      <c r="F59" s="3" t="s">
        <v>621</v>
      </c>
      <c r="G59" s="3" t="s">
        <v>622</v>
      </c>
      <c r="H59" s="3" t="s">
        <v>623</v>
      </c>
      <c r="I59" s="10" t="n">
        <v>2</v>
      </c>
      <c r="J59" s="10" t="n">
        <v>3</v>
      </c>
      <c r="K59" s="3" t="s">
        <v>624</v>
      </c>
      <c r="L59" s="3" t="s">
        <v>874</v>
      </c>
    </row>
    <row r="60" customFormat="false" ht="23.85" hidden="false" customHeight="false" outlineLevel="0" collapsed="false">
      <c r="A60" s="3" t="s">
        <v>875</v>
      </c>
      <c r="B60" s="3" t="s">
        <v>342</v>
      </c>
      <c r="C60" s="3" t="s">
        <v>876</v>
      </c>
      <c r="D60" s="3" t="s">
        <v>636</v>
      </c>
      <c r="E60" s="12" t="s">
        <v>877</v>
      </c>
      <c r="F60" s="3" t="s">
        <v>630</v>
      </c>
      <c r="G60" s="3" t="s">
        <v>622</v>
      </c>
      <c r="H60" s="3" t="s">
        <v>631</v>
      </c>
      <c r="I60" s="10" t="n">
        <v>3</v>
      </c>
      <c r="J60" s="10"/>
      <c r="K60" s="3" t="s">
        <v>624</v>
      </c>
      <c r="L60" s="3" t="s">
        <v>878</v>
      </c>
    </row>
    <row r="61" customFormat="false" ht="35.05" hidden="false" customHeight="false" outlineLevel="0" collapsed="false">
      <c r="A61" s="7" t="s">
        <v>879</v>
      </c>
      <c r="B61" s="7" t="s">
        <v>345</v>
      </c>
      <c r="C61" s="7" t="s">
        <v>880</v>
      </c>
      <c r="D61" s="7" t="s">
        <v>619</v>
      </c>
      <c r="E61" s="12" t="s">
        <v>881</v>
      </c>
      <c r="F61" s="3" t="s">
        <v>621</v>
      </c>
      <c r="G61" s="3" t="s">
        <v>622</v>
      </c>
      <c r="H61" s="3" t="s">
        <v>623</v>
      </c>
      <c r="I61" s="10" t="n">
        <v>1</v>
      </c>
      <c r="J61" s="10" t="n">
        <v>1</v>
      </c>
      <c r="K61" s="3" t="s">
        <v>695</v>
      </c>
      <c r="L61" s="3" t="s">
        <v>882</v>
      </c>
    </row>
    <row r="62" customFormat="false" ht="23.85" hidden="false" customHeight="false" outlineLevel="0" collapsed="false">
      <c r="A62" s="7" t="s">
        <v>883</v>
      </c>
      <c r="B62" s="7" t="s">
        <v>347</v>
      </c>
      <c r="C62" s="7" t="s">
        <v>884</v>
      </c>
      <c r="D62" s="7" t="s">
        <v>628</v>
      </c>
      <c r="E62" s="12" t="s">
        <v>885</v>
      </c>
      <c r="F62" s="3" t="s">
        <v>630</v>
      </c>
      <c r="G62" s="3" t="s">
        <v>622</v>
      </c>
      <c r="H62" s="3" t="s">
        <v>631</v>
      </c>
      <c r="I62" s="10" t="n">
        <v>1</v>
      </c>
      <c r="J62" s="10" t="n">
        <v>1</v>
      </c>
      <c r="K62" s="3" t="s">
        <v>624</v>
      </c>
      <c r="L62" s="3" t="s">
        <v>886</v>
      </c>
    </row>
    <row r="63" customFormat="false" ht="23.85" hidden="false" customHeight="false" outlineLevel="0" collapsed="false">
      <c r="A63" s="7" t="s">
        <v>887</v>
      </c>
      <c r="B63" s="7" t="s">
        <v>347</v>
      </c>
      <c r="C63" s="7" t="s">
        <v>888</v>
      </c>
      <c r="D63" s="7" t="s">
        <v>636</v>
      </c>
      <c r="E63" s="12" t="s">
        <v>889</v>
      </c>
      <c r="F63" s="3" t="s">
        <v>638</v>
      </c>
      <c r="G63" s="3" t="s">
        <v>622</v>
      </c>
      <c r="H63" s="3" t="s">
        <v>639</v>
      </c>
      <c r="I63" s="10" t="n">
        <v>2</v>
      </c>
      <c r="J63" s="10" t="n">
        <v>2</v>
      </c>
      <c r="K63" s="3" t="s">
        <v>624</v>
      </c>
      <c r="L63" s="3" t="s">
        <v>890</v>
      </c>
    </row>
    <row r="64" customFormat="false" ht="23.85" hidden="false" customHeight="false" outlineLevel="0" collapsed="false">
      <c r="A64" s="7" t="s">
        <v>891</v>
      </c>
      <c r="B64" s="7" t="s">
        <v>349</v>
      </c>
      <c r="C64" s="7" t="s">
        <v>892</v>
      </c>
      <c r="D64" s="7" t="s">
        <v>619</v>
      </c>
      <c r="E64" s="12" t="s">
        <v>893</v>
      </c>
      <c r="F64" s="3" t="s">
        <v>621</v>
      </c>
      <c r="G64" s="3" t="s">
        <v>622</v>
      </c>
      <c r="H64" s="3" t="s">
        <v>623</v>
      </c>
      <c r="I64" s="10" t="n">
        <v>1</v>
      </c>
      <c r="J64" s="10" t="n">
        <v>1</v>
      </c>
      <c r="K64" s="3" t="s">
        <v>624</v>
      </c>
      <c r="L64" s="3" t="s">
        <v>894</v>
      </c>
    </row>
    <row r="65" customFormat="false" ht="23.85" hidden="false" customHeight="false" outlineLevel="0" collapsed="false">
      <c r="A65" s="7" t="s">
        <v>895</v>
      </c>
      <c r="B65" s="7" t="s">
        <v>349</v>
      </c>
      <c r="C65" s="7" t="s">
        <v>896</v>
      </c>
      <c r="D65" s="7" t="s">
        <v>647</v>
      </c>
      <c r="E65" s="12" t="s">
        <v>897</v>
      </c>
      <c r="F65" s="3" t="s">
        <v>649</v>
      </c>
      <c r="G65" s="3" t="s">
        <v>622</v>
      </c>
      <c r="H65" s="3" t="s">
        <v>650</v>
      </c>
      <c r="I65" s="10" t="n">
        <v>1</v>
      </c>
      <c r="J65" s="10" t="n">
        <v>2</v>
      </c>
      <c r="K65" s="3" t="s">
        <v>624</v>
      </c>
      <c r="L65" s="3" t="s">
        <v>898</v>
      </c>
    </row>
    <row r="66" customFormat="false" ht="15" hidden="false" customHeight="false" outlineLevel="0" collapsed="false">
      <c r="A66" s="7" t="s">
        <v>899</v>
      </c>
      <c r="B66" s="7" t="s">
        <v>349</v>
      </c>
      <c r="C66" s="7" t="s">
        <v>900</v>
      </c>
      <c r="D66" s="7" t="s">
        <v>901</v>
      </c>
      <c r="E66" s="12" t="s">
        <v>902</v>
      </c>
      <c r="F66" s="3" t="s">
        <v>638</v>
      </c>
      <c r="G66" s="3" t="s">
        <v>622</v>
      </c>
      <c r="H66" s="3" t="s">
        <v>639</v>
      </c>
      <c r="I66" s="10" t="n">
        <v>3</v>
      </c>
      <c r="J66" s="10" t="n">
        <v>3</v>
      </c>
      <c r="K66" s="3" t="s">
        <v>624</v>
      </c>
      <c r="L66" s="3" t="s">
        <v>903</v>
      </c>
    </row>
    <row r="67" customFormat="false" ht="15" hidden="false" customHeight="false" outlineLevel="0" collapsed="false">
      <c r="A67" s="7" t="s">
        <v>904</v>
      </c>
      <c r="B67" s="7" t="s">
        <v>350</v>
      </c>
      <c r="C67" s="7" t="s">
        <v>905</v>
      </c>
      <c r="D67" s="7" t="s">
        <v>619</v>
      </c>
      <c r="E67" s="12" t="s">
        <v>906</v>
      </c>
      <c r="F67" s="3" t="s">
        <v>621</v>
      </c>
      <c r="G67" s="3" t="s">
        <v>622</v>
      </c>
      <c r="H67" s="3" t="s">
        <v>623</v>
      </c>
      <c r="I67" s="10" t="n">
        <v>1</v>
      </c>
      <c r="J67" s="10" t="n">
        <v>1</v>
      </c>
      <c r="K67" s="3" t="s">
        <v>624</v>
      </c>
      <c r="L67" s="3" t="s">
        <v>907</v>
      </c>
    </row>
    <row r="68" customFormat="false" ht="15" hidden="false" customHeight="false" outlineLevel="0" collapsed="false">
      <c r="A68" s="7" t="s">
        <v>908</v>
      </c>
      <c r="B68" s="7" t="s">
        <v>350</v>
      </c>
      <c r="C68" s="7" t="s">
        <v>909</v>
      </c>
      <c r="D68" s="7" t="s">
        <v>619</v>
      </c>
      <c r="E68" s="12" t="s">
        <v>910</v>
      </c>
      <c r="F68" s="3" t="s">
        <v>621</v>
      </c>
      <c r="G68" s="3" t="s">
        <v>622</v>
      </c>
      <c r="H68" s="3" t="s">
        <v>623</v>
      </c>
      <c r="I68" s="10" t="n">
        <v>1</v>
      </c>
      <c r="J68" s="10" t="n">
        <v>2</v>
      </c>
      <c r="K68" s="3" t="s">
        <v>624</v>
      </c>
      <c r="L68" s="3" t="s">
        <v>911</v>
      </c>
    </row>
    <row r="69" customFormat="false" ht="15" hidden="false" customHeight="false" outlineLevel="0" collapsed="false">
      <c r="A69" s="7" t="s">
        <v>912</v>
      </c>
      <c r="B69" s="7" t="s">
        <v>350</v>
      </c>
      <c r="C69" s="7" t="s">
        <v>913</v>
      </c>
      <c r="D69" s="7" t="s">
        <v>628</v>
      </c>
      <c r="E69" s="12" t="s">
        <v>914</v>
      </c>
      <c r="F69" s="3" t="s">
        <v>630</v>
      </c>
      <c r="G69" s="3" t="s">
        <v>622</v>
      </c>
      <c r="H69" s="3" t="s">
        <v>631</v>
      </c>
      <c r="I69" s="10" t="n">
        <v>3</v>
      </c>
      <c r="J69" s="10" t="n">
        <v>3</v>
      </c>
      <c r="K69" s="3" t="s">
        <v>624</v>
      </c>
      <c r="L69" s="3" t="s">
        <v>915</v>
      </c>
    </row>
    <row r="70" customFormat="false" ht="23.85" hidden="false" customHeight="false" outlineLevel="0" collapsed="false">
      <c r="A70" s="7" t="s">
        <v>916</v>
      </c>
      <c r="B70" s="7" t="s">
        <v>351</v>
      </c>
      <c r="C70" s="7" t="s">
        <v>917</v>
      </c>
      <c r="D70" s="7" t="s">
        <v>918</v>
      </c>
      <c r="E70" s="12" t="s">
        <v>919</v>
      </c>
      <c r="F70" s="3" t="s">
        <v>920</v>
      </c>
      <c r="G70" s="3" t="s">
        <v>622</v>
      </c>
      <c r="H70" s="3" t="s">
        <v>650</v>
      </c>
      <c r="I70" s="10" t="n">
        <v>1</v>
      </c>
      <c r="J70" s="10" t="n">
        <v>1</v>
      </c>
      <c r="K70" s="3" t="s">
        <v>624</v>
      </c>
      <c r="L70" s="3" t="s">
        <v>921</v>
      </c>
    </row>
    <row r="71" customFormat="false" ht="35.05" hidden="false" customHeight="false" outlineLevel="0" collapsed="false">
      <c r="A71" s="7" t="s">
        <v>922</v>
      </c>
      <c r="B71" s="7" t="s">
        <v>355</v>
      </c>
      <c r="C71" s="7" t="s">
        <v>923</v>
      </c>
      <c r="D71" s="7" t="s">
        <v>636</v>
      </c>
      <c r="E71" s="12" t="s">
        <v>924</v>
      </c>
      <c r="F71" s="3" t="s">
        <v>638</v>
      </c>
      <c r="G71" s="3" t="s">
        <v>622</v>
      </c>
      <c r="H71" s="3" t="s">
        <v>639</v>
      </c>
      <c r="I71" s="10" t="n">
        <v>1</v>
      </c>
      <c r="J71" s="10" t="n">
        <v>1</v>
      </c>
      <c r="K71" s="3" t="s">
        <v>695</v>
      </c>
      <c r="L71" s="3" t="s">
        <v>925</v>
      </c>
    </row>
    <row r="72" customFormat="false" ht="35.05" hidden="false" customHeight="false" outlineLevel="0" collapsed="false">
      <c r="A72" s="7" t="s">
        <v>926</v>
      </c>
      <c r="B72" s="7" t="s">
        <v>355</v>
      </c>
      <c r="C72" s="7" t="s">
        <v>927</v>
      </c>
      <c r="D72" s="7" t="s">
        <v>628</v>
      </c>
      <c r="E72" s="12" t="s">
        <v>928</v>
      </c>
      <c r="F72" s="3" t="s">
        <v>630</v>
      </c>
      <c r="G72" s="3" t="s">
        <v>622</v>
      </c>
      <c r="H72" s="3" t="s">
        <v>631</v>
      </c>
      <c r="I72" s="10" t="n">
        <v>1</v>
      </c>
      <c r="J72" s="10" t="n">
        <v>2</v>
      </c>
      <c r="K72" s="3" t="s">
        <v>695</v>
      </c>
      <c r="L72" s="3" t="s">
        <v>929</v>
      </c>
    </row>
    <row r="73" customFormat="false" ht="35.05" hidden="false" customHeight="false" outlineLevel="0" collapsed="false">
      <c r="A73" s="7" t="s">
        <v>930</v>
      </c>
      <c r="B73" s="7" t="s">
        <v>356</v>
      </c>
      <c r="C73" s="7" t="s">
        <v>931</v>
      </c>
      <c r="D73" s="7" t="s">
        <v>932</v>
      </c>
      <c r="E73" s="12" t="s">
        <v>933</v>
      </c>
      <c r="F73" s="3" t="s">
        <v>934</v>
      </c>
      <c r="G73" s="3" t="s">
        <v>622</v>
      </c>
      <c r="H73" s="3" t="s">
        <v>639</v>
      </c>
      <c r="I73" s="10" t="n">
        <v>1</v>
      </c>
      <c r="J73" s="10" t="n">
        <v>1</v>
      </c>
      <c r="K73" s="3" t="s">
        <v>695</v>
      </c>
      <c r="L73" s="3" t="s">
        <v>935</v>
      </c>
    </row>
    <row r="74" customFormat="false" ht="35.05" hidden="false" customHeight="false" outlineLevel="0" collapsed="false">
      <c r="A74" s="7" t="s">
        <v>936</v>
      </c>
      <c r="B74" s="7" t="s">
        <v>356</v>
      </c>
      <c r="C74" s="7" t="s">
        <v>937</v>
      </c>
      <c r="D74" s="7" t="s">
        <v>932</v>
      </c>
      <c r="E74" s="12" t="s">
        <v>938</v>
      </c>
      <c r="F74" s="3" t="s">
        <v>934</v>
      </c>
      <c r="G74" s="3" t="s">
        <v>622</v>
      </c>
      <c r="H74" s="3" t="s">
        <v>639</v>
      </c>
      <c r="I74" s="10" t="n">
        <v>1</v>
      </c>
      <c r="J74" s="10" t="n">
        <v>2</v>
      </c>
      <c r="K74" s="3" t="s">
        <v>695</v>
      </c>
      <c r="L74" s="3" t="s">
        <v>939</v>
      </c>
    </row>
    <row r="75" customFormat="false" ht="35.05" hidden="false" customHeight="false" outlineLevel="0" collapsed="false">
      <c r="A75" s="7" t="s">
        <v>940</v>
      </c>
      <c r="B75" s="7" t="s">
        <v>357</v>
      </c>
      <c r="C75" s="7" t="s">
        <v>941</v>
      </c>
      <c r="D75" s="7" t="s">
        <v>628</v>
      </c>
      <c r="E75" s="12" t="s">
        <v>942</v>
      </c>
      <c r="F75" s="3" t="s">
        <v>630</v>
      </c>
      <c r="G75" s="3" t="s">
        <v>622</v>
      </c>
      <c r="H75" s="3" t="s">
        <v>631</v>
      </c>
      <c r="I75" s="10" t="n">
        <v>1</v>
      </c>
      <c r="J75" s="10" t="n">
        <v>1</v>
      </c>
      <c r="K75" s="3" t="s">
        <v>695</v>
      </c>
      <c r="L75" s="3" t="s">
        <v>943</v>
      </c>
    </row>
    <row r="76" customFormat="false" ht="35.05" hidden="false" customHeight="false" outlineLevel="0" collapsed="false">
      <c r="A76" s="7" t="s">
        <v>944</v>
      </c>
      <c r="B76" s="7" t="s">
        <v>357</v>
      </c>
      <c r="C76" s="7" t="s">
        <v>945</v>
      </c>
      <c r="D76" s="7" t="s">
        <v>619</v>
      </c>
      <c r="E76" s="12" t="s">
        <v>946</v>
      </c>
      <c r="F76" s="3" t="s">
        <v>621</v>
      </c>
      <c r="G76" s="3" t="s">
        <v>622</v>
      </c>
      <c r="H76" s="3" t="s">
        <v>623</v>
      </c>
      <c r="I76" s="10" t="n">
        <v>2</v>
      </c>
      <c r="J76" s="10" t="n">
        <v>2</v>
      </c>
      <c r="K76" s="3" t="s">
        <v>695</v>
      </c>
      <c r="L76" s="3" t="s">
        <v>947</v>
      </c>
    </row>
    <row r="77" customFormat="false" ht="35.05" hidden="false" customHeight="false" outlineLevel="0" collapsed="false">
      <c r="A77" s="7" t="s">
        <v>948</v>
      </c>
      <c r="B77" s="7" t="s">
        <v>358</v>
      </c>
      <c r="C77" s="7" t="s">
        <v>949</v>
      </c>
      <c r="D77" s="7" t="s">
        <v>636</v>
      </c>
      <c r="E77" s="12" t="s">
        <v>950</v>
      </c>
      <c r="F77" s="3" t="s">
        <v>630</v>
      </c>
      <c r="G77" s="3" t="s">
        <v>622</v>
      </c>
      <c r="H77" s="3" t="s">
        <v>631</v>
      </c>
      <c r="I77" s="10" t="n">
        <v>1</v>
      </c>
      <c r="J77" s="10" t="n">
        <v>1</v>
      </c>
      <c r="K77" s="3" t="s">
        <v>695</v>
      </c>
      <c r="L77" s="3" t="s">
        <v>951</v>
      </c>
    </row>
    <row r="78" customFormat="false" ht="35.05" hidden="false" customHeight="false" outlineLevel="0" collapsed="false">
      <c r="A78" s="7" t="s">
        <v>952</v>
      </c>
      <c r="B78" s="7" t="s">
        <v>360</v>
      </c>
      <c r="C78" s="7" t="s">
        <v>953</v>
      </c>
      <c r="D78" s="7" t="s">
        <v>628</v>
      </c>
      <c r="E78" s="12" t="s">
        <v>954</v>
      </c>
      <c r="F78" s="3" t="s">
        <v>630</v>
      </c>
      <c r="G78" s="3" t="s">
        <v>622</v>
      </c>
      <c r="H78" s="3" t="s">
        <v>631</v>
      </c>
      <c r="I78" s="10" t="n">
        <v>2</v>
      </c>
      <c r="J78" s="10" t="n">
        <v>1</v>
      </c>
      <c r="K78" s="3" t="s">
        <v>695</v>
      </c>
      <c r="L78" s="3" t="s">
        <v>955</v>
      </c>
    </row>
    <row r="79" customFormat="false" ht="35.05" hidden="false" customHeight="false" outlineLevel="0" collapsed="false">
      <c r="A79" s="7" t="s">
        <v>956</v>
      </c>
      <c r="B79" s="7" t="s">
        <v>361</v>
      </c>
      <c r="C79" s="7" t="s">
        <v>957</v>
      </c>
      <c r="D79" s="7" t="s">
        <v>628</v>
      </c>
      <c r="E79" s="12" t="s">
        <v>958</v>
      </c>
      <c r="F79" s="3" t="s">
        <v>630</v>
      </c>
      <c r="G79" s="3" t="s">
        <v>622</v>
      </c>
      <c r="H79" s="3" t="s">
        <v>631</v>
      </c>
      <c r="I79" s="10" t="n">
        <v>2</v>
      </c>
      <c r="J79" s="10" t="n">
        <v>1</v>
      </c>
      <c r="K79" s="3" t="s">
        <v>695</v>
      </c>
      <c r="L79" s="3" t="s">
        <v>959</v>
      </c>
    </row>
    <row r="80" customFormat="false" ht="35.05" hidden="false" customHeight="false" outlineLevel="0" collapsed="false">
      <c r="A80" s="7" t="s">
        <v>960</v>
      </c>
      <c r="B80" s="7" t="s">
        <v>362</v>
      </c>
      <c r="C80" s="7" t="s">
        <v>961</v>
      </c>
      <c r="D80" s="7" t="s">
        <v>628</v>
      </c>
      <c r="E80" s="12" t="s">
        <v>962</v>
      </c>
      <c r="F80" s="3" t="s">
        <v>630</v>
      </c>
      <c r="G80" s="3" t="s">
        <v>622</v>
      </c>
      <c r="H80" s="3" t="s">
        <v>631</v>
      </c>
      <c r="I80" s="10" t="n">
        <v>3</v>
      </c>
      <c r="J80" s="10" t="n">
        <v>1</v>
      </c>
      <c r="K80" s="3" t="s">
        <v>695</v>
      </c>
      <c r="L80" s="3" t="s">
        <v>963</v>
      </c>
    </row>
    <row r="81" customFormat="false" ht="35.05" hidden="false" customHeight="false" outlineLevel="0" collapsed="false">
      <c r="A81" s="7" t="s">
        <v>964</v>
      </c>
      <c r="B81" s="7" t="s">
        <v>363</v>
      </c>
      <c r="C81" s="7" t="s">
        <v>965</v>
      </c>
      <c r="D81" s="7" t="s">
        <v>932</v>
      </c>
      <c r="E81" s="12" t="s">
        <v>966</v>
      </c>
      <c r="F81" s="3" t="s">
        <v>630</v>
      </c>
      <c r="G81" s="3" t="s">
        <v>622</v>
      </c>
      <c r="H81" s="3" t="s">
        <v>639</v>
      </c>
      <c r="I81" s="10" t="n">
        <v>2</v>
      </c>
      <c r="J81" s="10" t="n">
        <v>1</v>
      </c>
      <c r="K81" s="3" t="s">
        <v>695</v>
      </c>
      <c r="L81" s="3" t="s">
        <v>967</v>
      </c>
    </row>
    <row r="82" customFormat="false" ht="23.85" hidden="false" customHeight="false" outlineLevel="0" collapsed="false">
      <c r="A82" s="7" t="s">
        <v>968</v>
      </c>
      <c r="B82" s="7" t="s">
        <v>365</v>
      </c>
      <c r="C82" s="7" t="s">
        <v>969</v>
      </c>
      <c r="D82" s="7" t="s">
        <v>714</v>
      </c>
      <c r="E82" s="12" t="s">
        <v>970</v>
      </c>
      <c r="F82" s="3" t="s">
        <v>716</v>
      </c>
      <c r="G82" s="3" t="s">
        <v>622</v>
      </c>
      <c r="H82" s="3" t="s">
        <v>717</v>
      </c>
      <c r="I82" s="10" t="n">
        <v>1</v>
      </c>
      <c r="J82" s="10" t="n">
        <v>1</v>
      </c>
      <c r="K82" s="3" t="s">
        <v>624</v>
      </c>
      <c r="L82" s="3" t="s">
        <v>971</v>
      </c>
    </row>
    <row r="83" customFormat="false" ht="15" hidden="false" customHeight="false" outlineLevel="0" collapsed="false">
      <c r="A83" s="7" t="s">
        <v>972</v>
      </c>
      <c r="B83" s="7" t="s">
        <v>365</v>
      </c>
      <c r="C83" s="7" t="s">
        <v>973</v>
      </c>
      <c r="D83" s="7" t="s">
        <v>628</v>
      </c>
      <c r="E83" s="12" t="s">
        <v>974</v>
      </c>
      <c r="F83" s="3" t="s">
        <v>630</v>
      </c>
      <c r="G83" s="3" t="s">
        <v>622</v>
      </c>
      <c r="H83" s="3" t="s">
        <v>631</v>
      </c>
      <c r="I83" s="10" t="n">
        <v>1</v>
      </c>
      <c r="J83" s="10" t="n">
        <v>2</v>
      </c>
      <c r="K83" s="3" t="s">
        <v>624</v>
      </c>
      <c r="L83" s="3" t="s">
        <v>975</v>
      </c>
    </row>
    <row r="84" customFormat="false" ht="15" hidden="false" customHeight="false" outlineLevel="0" collapsed="false">
      <c r="A84" s="7" t="s">
        <v>976</v>
      </c>
      <c r="B84" s="7" t="s">
        <v>365</v>
      </c>
      <c r="C84" s="7" t="s">
        <v>977</v>
      </c>
      <c r="D84" s="7" t="s">
        <v>619</v>
      </c>
      <c r="E84" s="12" t="s">
        <v>978</v>
      </c>
      <c r="F84" s="3" t="s">
        <v>621</v>
      </c>
      <c r="G84" s="3" t="s">
        <v>622</v>
      </c>
      <c r="H84" s="3" t="s">
        <v>623</v>
      </c>
      <c r="I84" s="10" t="n">
        <v>1</v>
      </c>
      <c r="J84" s="10" t="n">
        <v>3</v>
      </c>
      <c r="K84" s="3" t="s">
        <v>624</v>
      </c>
      <c r="L84" s="3" t="s">
        <v>979</v>
      </c>
    </row>
    <row r="85" customFormat="false" ht="23.85" hidden="false" customHeight="false" outlineLevel="0" collapsed="false">
      <c r="A85" s="3" t="s">
        <v>980</v>
      </c>
      <c r="B85" s="3" t="s">
        <v>365</v>
      </c>
      <c r="C85" s="3" t="s">
        <v>981</v>
      </c>
      <c r="D85" s="3" t="s">
        <v>647</v>
      </c>
      <c r="E85" s="12" t="s">
        <v>982</v>
      </c>
      <c r="F85" s="3" t="s">
        <v>667</v>
      </c>
      <c r="G85" s="3" t="s">
        <v>622</v>
      </c>
      <c r="H85" s="3" t="s">
        <v>650</v>
      </c>
      <c r="I85" s="10" t="n">
        <v>2</v>
      </c>
      <c r="J85" s="10"/>
      <c r="K85" s="3" t="s">
        <v>624</v>
      </c>
      <c r="L85" s="3" t="s">
        <v>983</v>
      </c>
    </row>
    <row r="86" customFormat="false" ht="23.85" hidden="false" customHeight="false" outlineLevel="0" collapsed="false">
      <c r="A86" s="3" t="s">
        <v>984</v>
      </c>
      <c r="B86" s="3" t="s">
        <v>365</v>
      </c>
      <c r="C86" s="3" t="s">
        <v>985</v>
      </c>
      <c r="D86" s="3" t="s">
        <v>636</v>
      </c>
      <c r="E86" s="12" t="s">
        <v>986</v>
      </c>
      <c r="F86" s="3" t="s">
        <v>987</v>
      </c>
      <c r="G86" s="3" t="s">
        <v>622</v>
      </c>
      <c r="H86" s="3" t="s">
        <v>639</v>
      </c>
      <c r="I86" s="10" t="n">
        <v>2</v>
      </c>
      <c r="J86" s="10"/>
      <c r="K86" s="3" t="s">
        <v>624</v>
      </c>
      <c r="L86" s="3" t="s">
        <v>988</v>
      </c>
    </row>
    <row r="87" customFormat="false" ht="23.85" hidden="false" customHeight="false" outlineLevel="0" collapsed="false">
      <c r="A87" s="3" t="s">
        <v>989</v>
      </c>
      <c r="B87" s="3" t="s">
        <v>365</v>
      </c>
      <c r="C87" s="3" t="s">
        <v>990</v>
      </c>
      <c r="D87" s="3" t="s">
        <v>991</v>
      </c>
      <c r="E87" s="12" t="s">
        <v>992</v>
      </c>
      <c r="F87" s="3" t="s">
        <v>630</v>
      </c>
      <c r="G87" s="3" t="s">
        <v>622</v>
      </c>
      <c r="H87" s="3" t="s">
        <v>631</v>
      </c>
      <c r="I87" s="10" t="n">
        <v>3</v>
      </c>
      <c r="J87" s="10"/>
      <c r="K87" s="3" t="s">
        <v>624</v>
      </c>
      <c r="L87" s="3" t="s">
        <v>993</v>
      </c>
    </row>
    <row r="88" customFormat="false" ht="23.85" hidden="false" customHeight="false" outlineLevel="0" collapsed="false">
      <c r="A88" s="3" t="s">
        <v>994</v>
      </c>
      <c r="B88" s="3" t="s">
        <v>365</v>
      </c>
      <c r="C88" s="3" t="s">
        <v>995</v>
      </c>
      <c r="D88" s="3" t="s">
        <v>996</v>
      </c>
      <c r="E88" s="12" t="s">
        <v>997</v>
      </c>
      <c r="F88" s="3" t="s">
        <v>638</v>
      </c>
      <c r="G88" s="3" t="s">
        <v>622</v>
      </c>
      <c r="H88" s="3" t="s">
        <v>998</v>
      </c>
      <c r="I88" s="10" t="n">
        <v>3</v>
      </c>
      <c r="J88" s="10"/>
      <c r="K88" s="3" t="s">
        <v>624</v>
      </c>
      <c r="L88" s="3" t="s">
        <v>999</v>
      </c>
    </row>
    <row r="89" customFormat="false" ht="35.05" hidden="false" customHeight="false" outlineLevel="0" collapsed="false">
      <c r="A89" s="7" t="s">
        <v>1000</v>
      </c>
      <c r="B89" s="7" t="s">
        <v>369</v>
      </c>
      <c r="C89" s="7" t="s">
        <v>1001</v>
      </c>
      <c r="D89" s="7" t="s">
        <v>714</v>
      </c>
      <c r="E89" s="12" t="s">
        <v>1002</v>
      </c>
      <c r="F89" s="3" t="s">
        <v>716</v>
      </c>
      <c r="G89" s="3" t="s">
        <v>622</v>
      </c>
      <c r="H89" s="3" t="s">
        <v>717</v>
      </c>
      <c r="I89" s="10" t="n">
        <v>2</v>
      </c>
      <c r="J89" s="10" t="n">
        <v>1</v>
      </c>
      <c r="K89" s="3" t="s">
        <v>632</v>
      </c>
      <c r="L89" s="3" t="s">
        <v>1003</v>
      </c>
    </row>
    <row r="90" customFormat="false" ht="15" hidden="false" customHeight="false" outlineLevel="0" collapsed="false">
      <c r="A90" s="7" t="s">
        <v>1004</v>
      </c>
      <c r="B90" s="7" t="s">
        <v>371</v>
      </c>
      <c r="C90" s="7" t="s">
        <v>1005</v>
      </c>
      <c r="D90" s="7" t="s">
        <v>619</v>
      </c>
      <c r="E90" s="12" t="s">
        <v>1006</v>
      </c>
      <c r="F90" s="3" t="s">
        <v>621</v>
      </c>
      <c r="G90" s="3" t="s">
        <v>622</v>
      </c>
      <c r="H90" s="3" t="s">
        <v>623</v>
      </c>
      <c r="I90" s="10" t="n">
        <v>1</v>
      </c>
      <c r="J90" s="10" t="n">
        <v>1</v>
      </c>
      <c r="K90" s="3" t="s">
        <v>624</v>
      </c>
      <c r="L90" s="3" t="s">
        <v>1007</v>
      </c>
    </row>
    <row r="91" customFormat="false" ht="23.85" hidden="false" customHeight="false" outlineLevel="0" collapsed="false">
      <c r="A91" s="7" t="s">
        <v>1008</v>
      </c>
      <c r="B91" s="7" t="s">
        <v>371</v>
      </c>
      <c r="C91" s="7" t="s">
        <v>1009</v>
      </c>
      <c r="D91" s="7" t="s">
        <v>628</v>
      </c>
      <c r="E91" s="12" t="s">
        <v>1010</v>
      </c>
      <c r="F91" s="3" t="s">
        <v>630</v>
      </c>
      <c r="G91" s="3" t="s">
        <v>622</v>
      </c>
      <c r="H91" s="3" t="s">
        <v>631</v>
      </c>
      <c r="I91" s="10" t="n">
        <v>1</v>
      </c>
      <c r="J91" s="10" t="n">
        <v>2</v>
      </c>
      <c r="K91" s="3" t="s">
        <v>624</v>
      </c>
      <c r="L91" s="3" t="s">
        <v>1011</v>
      </c>
    </row>
    <row r="92" customFormat="false" ht="23.85" hidden="false" customHeight="false" outlineLevel="0" collapsed="false">
      <c r="A92" s="7" t="s">
        <v>1012</v>
      </c>
      <c r="B92" s="7" t="s">
        <v>371</v>
      </c>
      <c r="C92" s="7" t="s">
        <v>1013</v>
      </c>
      <c r="D92" s="7" t="s">
        <v>636</v>
      </c>
      <c r="E92" s="12" t="s">
        <v>1014</v>
      </c>
      <c r="F92" s="3" t="s">
        <v>638</v>
      </c>
      <c r="G92" s="3" t="s">
        <v>622</v>
      </c>
      <c r="H92" s="3" t="s">
        <v>639</v>
      </c>
      <c r="I92" s="10" t="n">
        <v>2</v>
      </c>
      <c r="J92" s="10" t="n">
        <v>3</v>
      </c>
      <c r="K92" s="3" t="s">
        <v>624</v>
      </c>
      <c r="L92" s="3" t="s">
        <v>1015</v>
      </c>
    </row>
    <row r="93" customFormat="false" ht="15" hidden="false" customHeight="false" outlineLevel="0" collapsed="false">
      <c r="A93" s="7" t="s">
        <v>1016</v>
      </c>
      <c r="B93" s="7" t="s">
        <v>374</v>
      </c>
      <c r="C93" s="7" t="s">
        <v>1017</v>
      </c>
      <c r="D93" s="7" t="s">
        <v>619</v>
      </c>
      <c r="E93" s="12" t="s">
        <v>1018</v>
      </c>
      <c r="F93" s="3" t="s">
        <v>621</v>
      </c>
      <c r="G93" s="3" t="s">
        <v>622</v>
      </c>
      <c r="H93" s="3" t="s">
        <v>623</v>
      </c>
      <c r="I93" s="10" t="n">
        <v>1</v>
      </c>
      <c r="J93" s="10" t="n">
        <v>1</v>
      </c>
      <c r="K93" s="3" t="s">
        <v>624</v>
      </c>
      <c r="L93" s="3" t="s">
        <v>1019</v>
      </c>
    </row>
    <row r="94" customFormat="false" ht="35.05" hidden="false" customHeight="false" outlineLevel="0" collapsed="false">
      <c r="A94" s="7" t="s">
        <v>1020</v>
      </c>
      <c r="B94" s="7" t="s">
        <v>374</v>
      </c>
      <c r="C94" s="7" t="s">
        <v>1021</v>
      </c>
      <c r="D94" s="7" t="s">
        <v>714</v>
      </c>
      <c r="E94" s="12" t="s">
        <v>1022</v>
      </c>
      <c r="F94" s="3" t="s">
        <v>716</v>
      </c>
      <c r="G94" s="3" t="s">
        <v>622</v>
      </c>
      <c r="H94" s="3" t="s">
        <v>717</v>
      </c>
      <c r="I94" s="10" t="n">
        <v>1</v>
      </c>
      <c r="J94" s="10" t="n">
        <v>2</v>
      </c>
      <c r="K94" s="3" t="s">
        <v>755</v>
      </c>
      <c r="L94" s="3" t="s">
        <v>1023</v>
      </c>
    </row>
    <row r="95" customFormat="false" ht="23.85" hidden="false" customHeight="false" outlineLevel="0" collapsed="false">
      <c r="A95" s="7" t="s">
        <v>1024</v>
      </c>
      <c r="B95" s="7" t="s">
        <v>375</v>
      </c>
      <c r="C95" s="7" t="s">
        <v>1025</v>
      </c>
      <c r="D95" s="7" t="s">
        <v>714</v>
      </c>
      <c r="E95" s="12" t="s">
        <v>1026</v>
      </c>
      <c r="F95" s="3" t="s">
        <v>716</v>
      </c>
      <c r="G95" s="3" t="s">
        <v>622</v>
      </c>
      <c r="H95" s="3" t="s">
        <v>717</v>
      </c>
      <c r="I95" s="10" t="n">
        <v>1</v>
      </c>
      <c r="J95" s="10" t="n">
        <v>1</v>
      </c>
      <c r="K95" s="3" t="s">
        <v>624</v>
      </c>
      <c r="L95" s="3" t="s">
        <v>1027</v>
      </c>
    </row>
    <row r="96" customFormat="false" ht="15" hidden="false" customHeight="false" outlineLevel="0" collapsed="false">
      <c r="A96" s="7" t="s">
        <v>1028</v>
      </c>
      <c r="B96" s="7" t="s">
        <v>375</v>
      </c>
      <c r="C96" s="7" t="s">
        <v>1029</v>
      </c>
      <c r="D96" s="7" t="s">
        <v>619</v>
      </c>
      <c r="E96" s="12" t="s">
        <v>1030</v>
      </c>
      <c r="F96" s="3" t="s">
        <v>621</v>
      </c>
      <c r="G96" s="3" t="s">
        <v>622</v>
      </c>
      <c r="H96" s="3" t="s">
        <v>623</v>
      </c>
      <c r="I96" s="10" t="n">
        <v>1</v>
      </c>
      <c r="J96" s="10" t="n">
        <v>2</v>
      </c>
      <c r="K96" s="3" t="s">
        <v>624</v>
      </c>
      <c r="L96" s="3" t="s">
        <v>1031</v>
      </c>
    </row>
    <row r="97" customFormat="false" ht="15" hidden="false" customHeight="false" outlineLevel="0" collapsed="false">
      <c r="A97" s="7" t="s">
        <v>1032</v>
      </c>
      <c r="B97" s="7" t="s">
        <v>375</v>
      </c>
      <c r="C97" s="7" t="s">
        <v>1033</v>
      </c>
      <c r="D97" s="7" t="s">
        <v>628</v>
      </c>
      <c r="E97" s="12" t="s">
        <v>1034</v>
      </c>
      <c r="F97" s="3" t="s">
        <v>630</v>
      </c>
      <c r="G97" s="3" t="s">
        <v>622</v>
      </c>
      <c r="H97" s="3" t="s">
        <v>631</v>
      </c>
      <c r="I97" s="10" t="n">
        <v>2</v>
      </c>
      <c r="J97" s="10" t="n">
        <v>3</v>
      </c>
      <c r="K97" s="3" t="s">
        <v>624</v>
      </c>
      <c r="L97" s="3" t="s">
        <v>1035</v>
      </c>
    </row>
    <row r="98" customFormat="false" ht="23.85" hidden="false" customHeight="false" outlineLevel="0" collapsed="false">
      <c r="A98" s="3" t="s">
        <v>1036</v>
      </c>
      <c r="B98" s="3" t="s">
        <v>375</v>
      </c>
      <c r="C98" s="3" t="s">
        <v>1037</v>
      </c>
      <c r="D98" s="3" t="s">
        <v>714</v>
      </c>
      <c r="E98" s="12" t="s">
        <v>1038</v>
      </c>
      <c r="F98" s="3" t="s">
        <v>716</v>
      </c>
      <c r="G98" s="3" t="s">
        <v>622</v>
      </c>
      <c r="H98" s="3" t="s">
        <v>717</v>
      </c>
      <c r="I98" s="10" t="n">
        <v>2</v>
      </c>
      <c r="J98" s="10"/>
      <c r="K98" s="3" t="s">
        <v>624</v>
      </c>
      <c r="L98" s="3" t="s">
        <v>1039</v>
      </c>
    </row>
    <row r="99" customFormat="false" ht="15" hidden="false" customHeight="false" outlineLevel="0" collapsed="false">
      <c r="A99" s="7" t="s">
        <v>1040</v>
      </c>
      <c r="B99" s="7" t="s">
        <v>378</v>
      </c>
      <c r="C99" s="7" t="s">
        <v>1041</v>
      </c>
      <c r="D99" s="7" t="s">
        <v>619</v>
      </c>
      <c r="E99" s="12" t="s">
        <v>1042</v>
      </c>
      <c r="F99" s="3" t="s">
        <v>621</v>
      </c>
      <c r="G99" s="3" t="s">
        <v>622</v>
      </c>
      <c r="H99" s="3" t="s">
        <v>623</v>
      </c>
      <c r="I99" s="10" t="n">
        <v>1</v>
      </c>
      <c r="J99" s="10" t="n">
        <v>1</v>
      </c>
      <c r="K99" s="3" t="s">
        <v>624</v>
      </c>
      <c r="L99" s="3" t="s">
        <v>1043</v>
      </c>
    </row>
    <row r="100" customFormat="false" ht="23.85" hidden="false" customHeight="false" outlineLevel="0" collapsed="false">
      <c r="A100" s="7" t="s">
        <v>1044</v>
      </c>
      <c r="B100" s="7" t="s">
        <v>378</v>
      </c>
      <c r="C100" s="7" t="s">
        <v>1045</v>
      </c>
      <c r="D100" s="7" t="s">
        <v>714</v>
      </c>
      <c r="E100" s="12" t="s">
        <v>1046</v>
      </c>
      <c r="F100" s="3" t="s">
        <v>716</v>
      </c>
      <c r="G100" s="3" t="s">
        <v>622</v>
      </c>
      <c r="H100" s="3" t="s">
        <v>717</v>
      </c>
      <c r="I100" s="10" t="n">
        <v>1</v>
      </c>
      <c r="J100" s="10" t="n">
        <v>2</v>
      </c>
      <c r="K100" s="3" t="s">
        <v>624</v>
      </c>
      <c r="L100" s="3" t="s">
        <v>1047</v>
      </c>
    </row>
    <row r="101" customFormat="false" ht="23.85" hidden="false" customHeight="false" outlineLevel="0" collapsed="false">
      <c r="A101" s="7" t="s">
        <v>1048</v>
      </c>
      <c r="B101" s="7" t="s">
        <v>378</v>
      </c>
      <c r="C101" s="7" t="s">
        <v>1049</v>
      </c>
      <c r="D101" s="7" t="s">
        <v>996</v>
      </c>
      <c r="E101" s="12" t="s">
        <v>1050</v>
      </c>
      <c r="F101" s="3" t="s">
        <v>638</v>
      </c>
      <c r="G101" s="3" t="s">
        <v>622</v>
      </c>
      <c r="H101" s="3" t="s">
        <v>998</v>
      </c>
      <c r="I101" s="10" t="n">
        <v>3</v>
      </c>
      <c r="J101" s="10" t="n">
        <v>3</v>
      </c>
      <c r="K101" s="3" t="s">
        <v>624</v>
      </c>
      <c r="L101" s="3" t="s">
        <v>1051</v>
      </c>
    </row>
    <row r="102" customFormat="false" ht="23.85" hidden="false" customHeight="false" outlineLevel="0" collapsed="false">
      <c r="A102" s="7" t="s">
        <v>1052</v>
      </c>
      <c r="B102" s="7" t="s">
        <v>381</v>
      </c>
      <c r="C102" s="7" t="s">
        <v>1053</v>
      </c>
      <c r="D102" s="7" t="s">
        <v>619</v>
      </c>
      <c r="E102" s="12" t="s">
        <v>1054</v>
      </c>
      <c r="F102" s="3" t="s">
        <v>621</v>
      </c>
      <c r="G102" s="3" t="s">
        <v>622</v>
      </c>
      <c r="H102" s="3" t="s">
        <v>623</v>
      </c>
      <c r="I102" s="10" t="n">
        <v>1</v>
      </c>
      <c r="J102" s="10" t="n">
        <v>1</v>
      </c>
      <c r="K102" s="3" t="s">
        <v>624</v>
      </c>
      <c r="L102" s="3" t="s">
        <v>1055</v>
      </c>
    </row>
    <row r="103" customFormat="false" ht="35.05" hidden="false" customHeight="false" outlineLevel="0" collapsed="false">
      <c r="A103" s="7" t="s">
        <v>1056</v>
      </c>
      <c r="B103" s="7" t="s">
        <v>381</v>
      </c>
      <c r="C103" s="7" t="s">
        <v>1057</v>
      </c>
      <c r="D103" s="7" t="s">
        <v>714</v>
      </c>
      <c r="E103" s="12" t="s">
        <v>1058</v>
      </c>
      <c r="F103" s="3" t="s">
        <v>716</v>
      </c>
      <c r="G103" s="3" t="s">
        <v>622</v>
      </c>
      <c r="H103" s="3" t="s">
        <v>717</v>
      </c>
      <c r="I103" s="10" t="n">
        <v>1</v>
      </c>
      <c r="J103" s="10" t="n">
        <v>2</v>
      </c>
      <c r="K103" s="3" t="s">
        <v>755</v>
      </c>
      <c r="L103" s="3" t="s">
        <v>1059</v>
      </c>
    </row>
    <row r="104" customFormat="false" ht="15" hidden="false" customHeight="false" outlineLevel="0" collapsed="false">
      <c r="A104" s="7" t="s">
        <v>1060</v>
      </c>
      <c r="B104" s="7" t="s">
        <v>381</v>
      </c>
      <c r="C104" s="7" t="s">
        <v>1061</v>
      </c>
      <c r="D104" s="7" t="s">
        <v>619</v>
      </c>
      <c r="E104" s="12" t="s">
        <v>1062</v>
      </c>
      <c r="F104" s="3" t="s">
        <v>621</v>
      </c>
      <c r="G104" s="3" t="s">
        <v>622</v>
      </c>
      <c r="H104" s="3" t="s">
        <v>623</v>
      </c>
      <c r="I104" s="10" t="n">
        <v>2</v>
      </c>
      <c r="J104" s="10" t="n">
        <v>3</v>
      </c>
      <c r="K104" s="3" t="s">
        <v>624</v>
      </c>
      <c r="L104" s="3" t="s">
        <v>1063</v>
      </c>
    </row>
    <row r="105" customFormat="false" ht="15" hidden="false" customHeight="false" outlineLevel="0" collapsed="false">
      <c r="A105" s="3" t="s">
        <v>1064</v>
      </c>
      <c r="B105" s="3" t="s">
        <v>381</v>
      </c>
      <c r="C105" s="3" t="s">
        <v>1065</v>
      </c>
      <c r="D105" s="3" t="s">
        <v>1066</v>
      </c>
      <c r="E105" s="12" t="s">
        <v>1067</v>
      </c>
      <c r="F105" s="3" t="s">
        <v>638</v>
      </c>
      <c r="G105" s="3" t="s">
        <v>622</v>
      </c>
      <c r="H105" s="3" t="s">
        <v>639</v>
      </c>
      <c r="I105" s="10" t="n">
        <v>3</v>
      </c>
      <c r="J105" s="10"/>
      <c r="K105" s="3" t="s">
        <v>624</v>
      </c>
      <c r="L105" s="3" t="s">
        <v>1068</v>
      </c>
    </row>
    <row r="106" customFormat="false" ht="15" hidden="false" customHeight="false" outlineLevel="0" collapsed="false">
      <c r="A106" s="7" t="s">
        <v>1069</v>
      </c>
      <c r="B106" s="7" t="s">
        <v>384</v>
      </c>
      <c r="C106" s="7" t="s">
        <v>1070</v>
      </c>
      <c r="D106" s="7" t="s">
        <v>714</v>
      </c>
      <c r="E106" s="12" t="s">
        <v>1071</v>
      </c>
      <c r="F106" s="3" t="s">
        <v>716</v>
      </c>
      <c r="G106" s="3" t="s">
        <v>622</v>
      </c>
      <c r="H106" s="3" t="s">
        <v>746</v>
      </c>
      <c r="I106" s="10" t="n">
        <v>1</v>
      </c>
      <c r="J106" s="10" t="n">
        <v>1</v>
      </c>
      <c r="K106" s="3" t="s">
        <v>624</v>
      </c>
      <c r="L106" s="3" t="s">
        <v>1072</v>
      </c>
    </row>
    <row r="107" customFormat="false" ht="15" hidden="false" customHeight="false" outlineLevel="0" collapsed="false">
      <c r="A107" s="7" t="s">
        <v>1073</v>
      </c>
      <c r="B107" s="7" t="s">
        <v>384</v>
      </c>
      <c r="C107" s="7" t="s">
        <v>1074</v>
      </c>
      <c r="D107" s="7" t="s">
        <v>628</v>
      </c>
      <c r="E107" s="12" t="s">
        <v>1075</v>
      </c>
      <c r="F107" s="3" t="s">
        <v>638</v>
      </c>
      <c r="G107" s="3" t="s">
        <v>622</v>
      </c>
      <c r="H107" s="3" t="s">
        <v>639</v>
      </c>
      <c r="I107" s="10" t="n">
        <v>1</v>
      </c>
      <c r="J107" s="10" t="n">
        <v>2</v>
      </c>
      <c r="K107" s="3" t="s">
        <v>624</v>
      </c>
      <c r="L107" s="3" t="s">
        <v>1076</v>
      </c>
    </row>
    <row r="108" customFormat="false" ht="15" hidden="false" customHeight="false" outlineLevel="0" collapsed="false">
      <c r="A108" s="7" t="s">
        <v>1077</v>
      </c>
      <c r="B108" s="7" t="s">
        <v>384</v>
      </c>
      <c r="C108" s="7" t="s">
        <v>1078</v>
      </c>
      <c r="D108" s="7" t="s">
        <v>619</v>
      </c>
      <c r="E108" s="12" t="s">
        <v>1079</v>
      </c>
      <c r="F108" s="3" t="s">
        <v>621</v>
      </c>
      <c r="G108" s="3" t="s">
        <v>622</v>
      </c>
      <c r="H108" s="3" t="s">
        <v>623</v>
      </c>
      <c r="I108" s="10" t="n">
        <v>1</v>
      </c>
      <c r="J108" s="10" t="n">
        <v>3</v>
      </c>
      <c r="K108" s="3" t="s">
        <v>624</v>
      </c>
      <c r="L108" s="3" t="s">
        <v>1080</v>
      </c>
    </row>
    <row r="109" customFormat="false" ht="23.85" hidden="false" customHeight="false" outlineLevel="0" collapsed="false">
      <c r="A109" s="3" t="s">
        <v>1081</v>
      </c>
      <c r="B109" s="3" t="s">
        <v>384</v>
      </c>
      <c r="C109" s="3" t="s">
        <v>1082</v>
      </c>
      <c r="D109" s="3" t="s">
        <v>714</v>
      </c>
      <c r="E109" s="12" t="s">
        <v>1083</v>
      </c>
      <c r="F109" s="3" t="s">
        <v>716</v>
      </c>
      <c r="G109" s="3" t="s">
        <v>1084</v>
      </c>
      <c r="H109" s="3" t="s">
        <v>765</v>
      </c>
      <c r="I109" s="10" t="n">
        <v>3</v>
      </c>
      <c r="J109" s="10"/>
      <c r="K109" s="3" t="s">
        <v>624</v>
      </c>
      <c r="L109" s="3" t="s">
        <v>1085</v>
      </c>
    </row>
    <row r="110" customFormat="false" ht="23.85" hidden="false" customHeight="false" outlineLevel="0" collapsed="false">
      <c r="A110" s="3" t="s">
        <v>1086</v>
      </c>
      <c r="B110" s="3" t="s">
        <v>384</v>
      </c>
      <c r="C110" s="3" t="s">
        <v>1087</v>
      </c>
      <c r="D110" s="3" t="s">
        <v>1088</v>
      </c>
      <c r="E110" s="12" t="s">
        <v>1089</v>
      </c>
      <c r="F110" s="3" t="s">
        <v>1090</v>
      </c>
      <c r="G110" s="3" t="s">
        <v>622</v>
      </c>
      <c r="H110" s="3" t="s">
        <v>765</v>
      </c>
      <c r="I110" s="10" t="n">
        <v>3</v>
      </c>
      <c r="J110" s="10"/>
      <c r="K110" s="3" t="s">
        <v>624</v>
      </c>
      <c r="L110" s="3" t="s">
        <v>1091</v>
      </c>
    </row>
    <row r="111" customFormat="false" ht="35.05" hidden="false" customHeight="false" outlineLevel="0" collapsed="false">
      <c r="A111" s="7" t="s">
        <v>1092</v>
      </c>
      <c r="B111" s="7" t="s">
        <v>387</v>
      </c>
      <c r="C111" s="7" t="s">
        <v>1093</v>
      </c>
      <c r="D111" s="7" t="s">
        <v>628</v>
      </c>
      <c r="E111" s="12" t="s">
        <v>1094</v>
      </c>
      <c r="F111" s="3" t="s">
        <v>630</v>
      </c>
      <c r="G111" s="3" t="s">
        <v>622</v>
      </c>
      <c r="H111" s="3" t="s">
        <v>631</v>
      </c>
      <c r="I111" s="10" t="n">
        <v>1</v>
      </c>
      <c r="J111" s="10" t="n">
        <v>1</v>
      </c>
      <c r="K111" s="3" t="s">
        <v>755</v>
      </c>
      <c r="L111" s="3" t="s">
        <v>1095</v>
      </c>
    </row>
    <row r="112" customFormat="false" ht="23.85" hidden="false" customHeight="false" outlineLevel="0" collapsed="false">
      <c r="A112" s="7" t="s">
        <v>1096</v>
      </c>
      <c r="B112" s="7" t="s">
        <v>387</v>
      </c>
      <c r="C112" s="7" t="s">
        <v>1097</v>
      </c>
      <c r="D112" s="7" t="s">
        <v>619</v>
      </c>
      <c r="E112" s="12" t="s">
        <v>1098</v>
      </c>
      <c r="F112" s="3" t="s">
        <v>621</v>
      </c>
      <c r="G112" s="3" t="s">
        <v>622</v>
      </c>
      <c r="H112" s="3" t="s">
        <v>623</v>
      </c>
      <c r="I112" s="10" t="n">
        <v>1</v>
      </c>
      <c r="J112" s="10" t="n">
        <v>2</v>
      </c>
      <c r="K112" s="3" t="s">
        <v>624</v>
      </c>
      <c r="L112" s="3" t="s">
        <v>1099</v>
      </c>
    </row>
    <row r="113" customFormat="false" ht="23.85" hidden="false" customHeight="false" outlineLevel="0" collapsed="false">
      <c r="A113" s="7" t="s">
        <v>1100</v>
      </c>
      <c r="B113" s="7" t="s">
        <v>387</v>
      </c>
      <c r="C113" s="7" t="s">
        <v>1101</v>
      </c>
      <c r="D113" s="7" t="s">
        <v>619</v>
      </c>
      <c r="E113" s="12" t="s">
        <v>1102</v>
      </c>
      <c r="F113" s="3" t="s">
        <v>621</v>
      </c>
      <c r="G113" s="3" t="s">
        <v>622</v>
      </c>
      <c r="H113" s="3" t="s">
        <v>623</v>
      </c>
      <c r="I113" s="10" t="n">
        <v>1</v>
      </c>
      <c r="J113" s="10" t="n">
        <v>3</v>
      </c>
      <c r="K113" s="3" t="s">
        <v>624</v>
      </c>
      <c r="L113" s="3" t="s">
        <v>1103</v>
      </c>
    </row>
    <row r="114" customFormat="false" ht="23.85" hidden="false" customHeight="false" outlineLevel="0" collapsed="false">
      <c r="A114" s="3" t="s">
        <v>1104</v>
      </c>
      <c r="B114" s="3" t="s">
        <v>387</v>
      </c>
      <c r="C114" s="3" t="s">
        <v>1105</v>
      </c>
      <c r="D114" s="3" t="s">
        <v>619</v>
      </c>
      <c r="E114" s="12" t="s">
        <v>1106</v>
      </c>
      <c r="F114" s="3" t="s">
        <v>621</v>
      </c>
      <c r="G114" s="3" t="s">
        <v>622</v>
      </c>
      <c r="H114" s="3" t="s">
        <v>623</v>
      </c>
      <c r="I114" s="10" t="n">
        <v>2</v>
      </c>
      <c r="J114" s="10"/>
      <c r="K114" s="3" t="s">
        <v>624</v>
      </c>
      <c r="L114" s="3" t="s">
        <v>1107</v>
      </c>
    </row>
    <row r="115" customFormat="false" ht="23.85" hidden="false" customHeight="false" outlineLevel="0" collapsed="false">
      <c r="A115" s="7" t="s">
        <v>1108</v>
      </c>
      <c r="B115" s="7" t="s">
        <v>390</v>
      </c>
      <c r="C115" s="7" t="s">
        <v>1109</v>
      </c>
      <c r="D115" s="7" t="s">
        <v>619</v>
      </c>
      <c r="E115" s="12" t="s">
        <v>1110</v>
      </c>
      <c r="F115" s="3" t="s">
        <v>621</v>
      </c>
      <c r="G115" s="3" t="s">
        <v>622</v>
      </c>
      <c r="H115" s="3" t="s">
        <v>623</v>
      </c>
      <c r="I115" s="10" t="n">
        <v>1</v>
      </c>
      <c r="J115" s="10" t="n">
        <v>1</v>
      </c>
      <c r="K115" s="3" t="s">
        <v>624</v>
      </c>
      <c r="L115" s="3" t="s">
        <v>1111</v>
      </c>
    </row>
    <row r="116" customFormat="false" ht="23.85" hidden="false" customHeight="false" outlineLevel="0" collapsed="false">
      <c r="A116" s="7" t="s">
        <v>1112</v>
      </c>
      <c r="B116" s="7" t="s">
        <v>390</v>
      </c>
      <c r="C116" s="7" t="s">
        <v>1113</v>
      </c>
      <c r="D116" s="7" t="s">
        <v>619</v>
      </c>
      <c r="E116" s="12" t="s">
        <v>1114</v>
      </c>
      <c r="F116" s="3" t="s">
        <v>621</v>
      </c>
      <c r="G116" s="3" t="s">
        <v>622</v>
      </c>
      <c r="H116" s="3" t="s">
        <v>623</v>
      </c>
      <c r="I116" s="10" t="n">
        <v>2</v>
      </c>
      <c r="J116" s="10" t="n">
        <v>2</v>
      </c>
      <c r="K116" s="3" t="s">
        <v>624</v>
      </c>
      <c r="L116" s="3" t="s">
        <v>1115</v>
      </c>
    </row>
    <row r="117" customFormat="false" ht="23.85" hidden="false" customHeight="false" outlineLevel="0" collapsed="false">
      <c r="A117" s="7" t="s">
        <v>1116</v>
      </c>
      <c r="B117" s="7" t="s">
        <v>390</v>
      </c>
      <c r="C117" s="7" t="s">
        <v>1117</v>
      </c>
      <c r="D117" s="7" t="s">
        <v>996</v>
      </c>
      <c r="E117" s="12" t="s">
        <v>1118</v>
      </c>
      <c r="F117" s="3" t="s">
        <v>638</v>
      </c>
      <c r="G117" s="3" t="s">
        <v>622</v>
      </c>
      <c r="H117" s="3" t="s">
        <v>998</v>
      </c>
      <c r="I117" s="10" t="n">
        <v>3</v>
      </c>
      <c r="J117" s="10" t="n">
        <v>3</v>
      </c>
      <c r="K117" s="3" t="s">
        <v>624</v>
      </c>
      <c r="L117" s="3" t="s">
        <v>1119</v>
      </c>
    </row>
    <row r="118" customFormat="false" ht="15" hidden="false" customHeight="false" outlineLevel="0" collapsed="false">
      <c r="A118" s="7" t="s">
        <v>1120</v>
      </c>
      <c r="B118" s="7" t="s">
        <v>396</v>
      </c>
      <c r="C118" s="7" t="s">
        <v>1121</v>
      </c>
      <c r="D118" s="7" t="s">
        <v>619</v>
      </c>
      <c r="E118" s="12" t="s">
        <v>1122</v>
      </c>
      <c r="F118" s="3" t="s">
        <v>621</v>
      </c>
      <c r="G118" s="3" t="s">
        <v>622</v>
      </c>
      <c r="H118" s="3" t="s">
        <v>623</v>
      </c>
      <c r="I118" s="10" t="n">
        <v>1</v>
      </c>
      <c r="J118" s="10" t="n">
        <v>1</v>
      </c>
      <c r="K118" s="3" t="s">
        <v>624</v>
      </c>
      <c r="L118" s="3" t="s">
        <v>1123</v>
      </c>
    </row>
    <row r="119" customFormat="false" ht="15" hidden="false" customHeight="false" outlineLevel="0" collapsed="false">
      <c r="A119" s="7" t="s">
        <v>1124</v>
      </c>
      <c r="B119" s="7" t="s">
        <v>396</v>
      </c>
      <c r="C119" s="7" t="s">
        <v>1125</v>
      </c>
      <c r="D119" s="7" t="s">
        <v>675</v>
      </c>
      <c r="E119" s="12" t="s">
        <v>1126</v>
      </c>
      <c r="F119" s="3" t="s">
        <v>621</v>
      </c>
      <c r="G119" s="3" t="s">
        <v>622</v>
      </c>
      <c r="H119" s="3" t="s">
        <v>623</v>
      </c>
      <c r="I119" s="10" t="n">
        <v>2</v>
      </c>
      <c r="J119" s="10" t="n">
        <v>2</v>
      </c>
      <c r="K119" s="3" t="s">
        <v>624</v>
      </c>
      <c r="L119" s="3" t="s">
        <v>1127</v>
      </c>
    </row>
    <row r="120" customFormat="false" ht="15" hidden="false" customHeight="false" outlineLevel="0" collapsed="false">
      <c r="A120" s="7" t="s">
        <v>1128</v>
      </c>
      <c r="B120" s="7" t="s">
        <v>396</v>
      </c>
      <c r="C120" s="7" t="s">
        <v>1129</v>
      </c>
      <c r="D120" s="7" t="s">
        <v>619</v>
      </c>
      <c r="E120" s="12" t="s">
        <v>1130</v>
      </c>
      <c r="F120" s="3" t="s">
        <v>621</v>
      </c>
      <c r="G120" s="3" t="s">
        <v>622</v>
      </c>
      <c r="H120" s="3" t="s">
        <v>623</v>
      </c>
      <c r="I120" s="10" t="n">
        <v>2</v>
      </c>
      <c r="J120" s="10" t="n">
        <v>3</v>
      </c>
      <c r="K120" s="3" t="s">
        <v>624</v>
      </c>
      <c r="L120" s="3" t="s">
        <v>1131</v>
      </c>
    </row>
    <row r="121" customFormat="false" ht="23.85" hidden="false" customHeight="false" outlineLevel="0" collapsed="false">
      <c r="A121" s="3" t="s">
        <v>1132</v>
      </c>
      <c r="B121" s="3" t="s">
        <v>396</v>
      </c>
      <c r="C121" s="3" t="s">
        <v>1133</v>
      </c>
      <c r="D121" s="3" t="s">
        <v>996</v>
      </c>
      <c r="E121" s="12" t="s">
        <v>1134</v>
      </c>
      <c r="F121" s="3" t="s">
        <v>638</v>
      </c>
      <c r="G121" s="3" t="s">
        <v>622</v>
      </c>
      <c r="H121" s="3" t="s">
        <v>998</v>
      </c>
      <c r="I121" s="10" t="n">
        <v>3</v>
      </c>
      <c r="J121" s="10"/>
      <c r="K121" s="3" t="s">
        <v>624</v>
      </c>
      <c r="L121" s="3" t="s">
        <v>1135</v>
      </c>
    </row>
    <row r="122" customFormat="false" ht="35.05" hidden="false" customHeight="false" outlineLevel="0" collapsed="false">
      <c r="A122" s="7" t="s">
        <v>1136</v>
      </c>
      <c r="B122" s="7" t="s">
        <v>401</v>
      </c>
      <c r="C122" s="7" t="s">
        <v>1137</v>
      </c>
      <c r="D122" s="7" t="s">
        <v>628</v>
      </c>
      <c r="E122" s="12" t="s">
        <v>1138</v>
      </c>
      <c r="F122" s="3" t="s">
        <v>630</v>
      </c>
      <c r="G122" s="3" t="s">
        <v>622</v>
      </c>
      <c r="H122" s="3" t="s">
        <v>631</v>
      </c>
      <c r="I122" s="10" t="n">
        <v>1</v>
      </c>
      <c r="J122" s="10" t="n">
        <v>1</v>
      </c>
      <c r="K122" s="3" t="s">
        <v>695</v>
      </c>
      <c r="L122" s="3" t="s">
        <v>1139</v>
      </c>
    </row>
    <row r="123" customFormat="false" ht="35.05" hidden="false" customHeight="false" outlineLevel="0" collapsed="false">
      <c r="A123" s="7" t="s">
        <v>1140</v>
      </c>
      <c r="B123" s="7" t="s">
        <v>401</v>
      </c>
      <c r="C123" s="7" t="s">
        <v>1141</v>
      </c>
      <c r="D123" s="7" t="s">
        <v>619</v>
      </c>
      <c r="E123" s="12" t="s">
        <v>1142</v>
      </c>
      <c r="F123" s="3" t="s">
        <v>621</v>
      </c>
      <c r="G123" s="3" t="s">
        <v>622</v>
      </c>
      <c r="H123" s="3" t="s">
        <v>623</v>
      </c>
      <c r="I123" s="10" t="n">
        <v>2</v>
      </c>
      <c r="J123" s="10" t="n">
        <v>2</v>
      </c>
      <c r="K123" s="3" t="s">
        <v>695</v>
      </c>
      <c r="L123" s="3" t="s">
        <v>774</v>
      </c>
    </row>
    <row r="124" customFormat="false" ht="35.05" hidden="false" customHeight="false" outlineLevel="0" collapsed="false">
      <c r="A124" s="7" t="s">
        <v>1143</v>
      </c>
      <c r="B124" s="7" t="s">
        <v>402</v>
      </c>
      <c r="C124" s="7" t="s">
        <v>1144</v>
      </c>
      <c r="D124" s="7" t="s">
        <v>628</v>
      </c>
      <c r="E124" s="12" t="s">
        <v>1145</v>
      </c>
      <c r="F124" s="3" t="s">
        <v>630</v>
      </c>
      <c r="G124" s="3" t="s">
        <v>622</v>
      </c>
      <c r="H124" s="3" t="s">
        <v>631</v>
      </c>
      <c r="I124" s="10" t="n">
        <v>1</v>
      </c>
      <c r="J124" s="10" t="n">
        <v>1</v>
      </c>
      <c r="K124" s="3" t="s">
        <v>695</v>
      </c>
      <c r="L124" s="3" t="s">
        <v>1146</v>
      </c>
    </row>
    <row r="125" customFormat="false" ht="35.05" hidden="false" customHeight="false" outlineLevel="0" collapsed="false">
      <c r="A125" s="7" t="s">
        <v>1147</v>
      </c>
      <c r="B125" s="7" t="s">
        <v>402</v>
      </c>
      <c r="C125" s="7" t="s">
        <v>1148</v>
      </c>
      <c r="D125" s="7" t="s">
        <v>619</v>
      </c>
      <c r="E125" s="12" t="s">
        <v>1149</v>
      </c>
      <c r="F125" s="3" t="s">
        <v>621</v>
      </c>
      <c r="G125" s="3" t="s">
        <v>622</v>
      </c>
      <c r="H125" s="3" t="s">
        <v>623</v>
      </c>
      <c r="I125" s="10" t="n">
        <v>2</v>
      </c>
      <c r="J125" s="10" t="n">
        <v>2</v>
      </c>
      <c r="K125" s="3" t="s">
        <v>695</v>
      </c>
      <c r="L125" s="3" t="s">
        <v>774</v>
      </c>
    </row>
    <row r="126" customFormat="false" ht="23.85" hidden="false" customHeight="false" outlineLevel="0" collapsed="false">
      <c r="A126" s="7" t="s">
        <v>1150</v>
      </c>
      <c r="B126" s="7" t="s">
        <v>403</v>
      </c>
      <c r="C126" s="7" t="s">
        <v>1151</v>
      </c>
      <c r="D126" s="7" t="s">
        <v>619</v>
      </c>
      <c r="E126" s="12" t="s">
        <v>1152</v>
      </c>
      <c r="F126" s="3" t="s">
        <v>621</v>
      </c>
      <c r="G126" s="3" t="s">
        <v>622</v>
      </c>
      <c r="H126" s="3" t="s">
        <v>623</v>
      </c>
      <c r="I126" s="10" t="n">
        <v>1</v>
      </c>
      <c r="J126" s="10" t="n">
        <v>1</v>
      </c>
      <c r="K126" s="3" t="s">
        <v>624</v>
      </c>
      <c r="L126" s="3" t="s">
        <v>1153</v>
      </c>
    </row>
    <row r="127" customFormat="false" ht="23.85" hidden="false" customHeight="false" outlineLevel="0" collapsed="false">
      <c r="A127" s="7" t="s">
        <v>1154</v>
      </c>
      <c r="B127" s="7" t="s">
        <v>403</v>
      </c>
      <c r="C127" s="7" t="s">
        <v>1155</v>
      </c>
      <c r="D127" s="7" t="s">
        <v>845</v>
      </c>
      <c r="E127" s="12" t="s">
        <v>1156</v>
      </c>
      <c r="F127" s="3" t="s">
        <v>447</v>
      </c>
      <c r="G127" s="3" t="s">
        <v>622</v>
      </c>
      <c r="H127" s="3" t="s">
        <v>650</v>
      </c>
      <c r="I127" s="10" t="n">
        <v>2</v>
      </c>
      <c r="J127" s="10" t="n">
        <v>2</v>
      </c>
      <c r="K127" s="3" t="s">
        <v>624</v>
      </c>
      <c r="L127" s="3" t="s">
        <v>1157</v>
      </c>
    </row>
    <row r="128" customFormat="false" ht="35.05" hidden="false" customHeight="false" outlineLevel="0" collapsed="false">
      <c r="A128" s="7" t="s">
        <v>1158</v>
      </c>
      <c r="B128" s="7" t="s">
        <v>407</v>
      </c>
      <c r="C128" s="7" t="s">
        <v>1159</v>
      </c>
      <c r="D128" s="7" t="s">
        <v>619</v>
      </c>
      <c r="E128" s="12" t="s">
        <v>1160</v>
      </c>
      <c r="F128" s="3" t="s">
        <v>621</v>
      </c>
      <c r="G128" s="3" t="s">
        <v>622</v>
      </c>
      <c r="H128" s="3" t="s">
        <v>623</v>
      </c>
      <c r="I128" s="10" t="n">
        <v>1</v>
      </c>
      <c r="J128" s="10" t="n">
        <v>1</v>
      </c>
      <c r="K128" s="3" t="s">
        <v>695</v>
      </c>
      <c r="L128" s="3" t="s">
        <v>1161</v>
      </c>
    </row>
    <row r="129" customFormat="false" ht="35.05" hidden="false" customHeight="false" outlineLevel="0" collapsed="false">
      <c r="A129" s="7" t="s">
        <v>1162</v>
      </c>
      <c r="B129" s="7" t="s">
        <v>407</v>
      </c>
      <c r="C129" s="7" t="s">
        <v>1163</v>
      </c>
      <c r="D129" s="7" t="s">
        <v>628</v>
      </c>
      <c r="E129" s="12" t="s">
        <v>1164</v>
      </c>
      <c r="F129" s="3" t="s">
        <v>630</v>
      </c>
      <c r="G129" s="3" t="s">
        <v>622</v>
      </c>
      <c r="H129" s="3" t="s">
        <v>631</v>
      </c>
      <c r="I129" s="10" t="n">
        <v>3</v>
      </c>
      <c r="J129" s="10" t="n">
        <v>2</v>
      </c>
      <c r="K129" s="3" t="s">
        <v>695</v>
      </c>
      <c r="L129" s="3" t="s">
        <v>1165</v>
      </c>
    </row>
    <row r="130" customFormat="false" ht="23.85" hidden="false" customHeight="false" outlineLevel="0" collapsed="false">
      <c r="A130" s="7" t="s">
        <v>1166</v>
      </c>
      <c r="B130" s="7" t="s">
        <v>409</v>
      </c>
      <c r="C130" s="7" t="s">
        <v>1167</v>
      </c>
      <c r="D130" s="7" t="s">
        <v>647</v>
      </c>
      <c r="E130" s="12" t="s">
        <v>1168</v>
      </c>
      <c r="F130" s="3" t="s">
        <v>649</v>
      </c>
      <c r="G130" s="3" t="s">
        <v>622</v>
      </c>
      <c r="H130" s="3" t="s">
        <v>650</v>
      </c>
      <c r="I130" s="10" t="n">
        <v>1</v>
      </c>
      <c r="J130" s="10" t="n">
        <v>1</v>
      </c>
      <c r="K130" s="3" t="s">
        <v>632</v>
      </c>
      <c r="L130" s="3" t="s">
        <v>1169</v>
      </c>
    </row>
    <row r="131" customFormat="false" ht="23.85" hidden="false" customHeight="false" outlineLevel="0" collapsed="false">
      <c r="A131" s="7" t="s">
        <v>1170</v>
      </c>
      <c r="B131" s="7" t="s">
        <v>409</v>
      </c>
      <c r="C131" s="7" t="s">
        <v>1171</v>
      </c>
      <c r="D131" s="7" t="s">
        <v>636</v>
      </c>
      <c r="E131" s="12" t="s">
        <v>1172</v>
      </c>
      <c r="F131" s="3" t="s">
        <v>621</v>
      </c>
      <c r="G131" s="3" t="s">
        <v>622</v>
      </c>
      <c r="H131" s="3" t="s">
        <v>639</v>
      </c>
      <c r="I131" s="10" t="n">
        <v>2</v>
      </c>
      <c r="J131" s="10" t="n">
        <v>2</v>
      </c>
      <c r="K131" s="3" t="s">
        <v>624</v>
      </c>
      <c r="L131" s="3" t="s">
        <v>1173</v>
      </c>
    </row>
    <row r="132" customFormat="false" ht="15" hidden="false" customHeight="false" outlineLevel="0" collapsed="false">
      <c r="A132" s="7" t="s">
        <v>1174</v>
      </c>
      <c r="B132" s="7" t="s">
        <v>409</v>
      </c>
      <c r="C132" s="7" t="s">
        <v>1175</v>
      </c>
      <c r="D132" s="7" t="s">
        <v>619</v>
      </c>
      <c r="E132" s="12" t="s">
        <v>1176</v>
      </c>
      <c r="F132" s="3" t="s">
        <v>621</v>
      </c>
      <c r="G132" s="3" t="s">
        <v>622</v>
      </c>
      <c r="H132" s="3" t="s">
        <v>623</v>
      </c>
      <c r="I132" s="10" t="n">
        <v>2</v>
      </c>
      <c r="J132" s="10" t="n">
        <v>3</v>
      </c>
      <c r="K132" s="3" t="s">
        <v>624</v>
      </c>
      <c r="L132" s="3" t="s">
        <v>1177</v>
      </c>
    </row>
    <row r="133" customFormat="false" ht="23.85" hidden="false" customHeight="false" outlineLevel="0" collapsed="false">
      <c r="A133" s="3" t="s">
        <v>1178</v>
      </c>
      <c r="B133" s="3" t="s">
        <v>409</v>
      </c>
      <c r="C133" s="3" t="s">
        <v>1179</v>
      </c>
      <c r="D133" s="3" t="s">
        <v>628</v>
      </c>
      <c r="E133" s="12" t="s">
        <v>1180</v>
      </c>
      <c r="F133" s="3" t="s">
        <v>630</v>
      </c>
      <c r="G133" s="3" t="s">
        <v>622</v>
      </c>
      <c r="H133" s="3" t="s">
        <v>631</v>
      </c>
      <c r="I133" s="10" t="n">
        <v>2</v>
      </c>
      <c r="J133" s="10"/>
      <c r="K133" s="3" t="s">
        <v>632</v>
      </c>
      <c r="L133" s="3" t="s">
        <v>1181</v>
      </c>
    </row>
    <row r="134" customFormat="false" ht="15" hidden="false" customHeight="false" outlineLevel="0" collapsed="false">
      <c r="A134" s="7" t="s">
        <v>1182</v>
      </c>
      <c r="B134" s="7" t="s">
        <v>414</v>
      </c>
      <c r="C134" s="7" t="s">
        <v>1183</v>
      </c>
      <c r="D134" s="7" t="s">
        <v>619</v>
      </c>
      <c r="E134" s="12" t="s">
        <v>1184</v>
      </c>
      <c r="F134" s="3" t="s">
        <v>621</v>
      </c>
      <c r="G134" s="3" t="s">
        <v>622</v>
      </c>
      <c r="H134" s="3" t="s">
        <v>623</v>
      </c>
      <c r="I134" s="10" t="n">
        <v>1</v>
      </c>
      <c r="J134" s="10" t="n">
        <v>1</v>
      </c>
      <c r="K134" s="3" t="s">
        <v>624</v>
      </c>
      <c r="L134" s="3" t="s">
        <v>1185</v>
      </c>
    </row>
    <row r="135" customFormat="false" ht="23.85" hidden="false" customHeight="false" outlineLevel="0" collapsed="false">
      <c r="A135" s="7" t="s">
        <v>1186</v>
      </c>
      <c r="B135" s="7" t="s">
        <v>414</v>
      </c>
      <c r="C135" s="7" t="s">
        <v>1187</v>
      </c>
      <c r="D135" s="7" t="s">
        <v>714</v>
      </c>
      <c r="E135" s="12" t="s">
        <v>1188</v>
      </c>
      <c r="F135" s="3" t="s">
        <v>716</v>
      </c>
      <c r="G135" s="3" t="s">
        <v>1189</v>
      </c>
      <c r="H135" s="3" t="s">
        <v>765</v>
      </c>
      <c r="I135" s="10" t="n">
        <v>1</v>
      </c>
      <c r="J135" s="10" t="n">
        <v>2</v>
      </c>
      <c r="K135" s="3" t="s">
        <v>624</v>
      </c>
      <c r="L135" s="3" t="s">
        <v>1190</v>
      </c>
    </row>
    <row r="136" customFormat="false" ht="35.05" hidden="false" customHeight="false" outlineLevel="0" collapsed="false">
      <c r="A136" s="7" t="s">
        <v>1191</v>
      </c>
      <c r="B136" s="7" t="s">
        <v>414</v>
      </c>
      <c r="C136" s="7" t="s">
        <v>1192</v>
      </c>
      <c r="D136" s="7" t="s">
        <v>628</v>
      </c>
      <c r="E136" s="12" t="s">
        <v>1193</v>
      </c>
      <c r="F136" s="3" t="s">
        <v>630</v>
      </c>
      <c r="G136" s="3" t="s">
        <v>622</v>
      </c>
      <c r="H136" s="3" t="s">
        <v>631</v>
      </c>
      <c r="I136" s="10" t="n">
        <v>1</v>
      </c>
      <c r="J136" s="10" t="n">
        <v>3</v>
      </c>
      <c r="K136" s="3" t="s">
        <v>755</v>
      </c>
      <c r="L136" s="3" t="s">
        <v>1194</v>
      </c>
    </row>
    <row r="137" customFormat="false" ht="23.85" hidden="false" customHeight="false" outlineLevel="0" collapsed="false">
      <c r="A137" s="7" t="s">
        <v>1195</v>
      </c>
      <c r="B137" s="7" t="s">
        <v>91</v>
      </c>
      <c r="C137" s="7" t="s">
        <v>1196</v>
      </c>
      <c r="D137" s="7" t="s">
        <v>628</v>
      </c>
      <c r="E137" s="12" t="s">
        <v>1197</v>
      </c>
      <c r="F137" s="3" t="s">
        <v>630</v>
      </c>
      <c r="G137" s="3" t="s">
        <v>622</v>
      </c>
      <c r="H137" s="3" t="s">
        <v>631</v>
      </c>
      <c r="I137" s="10" t="n">
        <v>1</v>
      </c>
      <c r="J137" s="10" t="n">
        <v>1</v>
      </c>
      <c r="K137" s="3" t="s">
        <v>632</v>
      </c>
      <c r="L137" s="3" t="s">
        <v>1198</v>
      </c>
    </row>
    <row r="138" customFormat="false" ht="15" hidden="false" customHeight="false" outlineLevel="0" collapsed="false">
      <c r="A138" s="7" t="s">
        <v>1199</v>
      </c>
      <c r="B138" s="7" t="s">
        <v>91</v>
      </c>
      <c r="C138" s="7" t="s">
        <v>1200</v>
      </c>
      <c r="D138" s="7" t="s">
        <v>619</v>
      </c>
      <c r="E138" s="12" t="s">
        <v>1201</v>
      </c>
      <c r="F138" s="3" t="s">
        <v>621</v>
      </c>
      <c r="G138" s="3" t="s">
        <v>622</v>
      </c>
      <c r="H138" s="3" t="s">
        <v>623</v>
      </c>
      <c r="I138" s="10" t="n">
        <v>1</v>
      </c>
      <c r="J138" s="10" t="n">
        <v>2</v>
      </c>
      <c r="K138" s="3" t="s">
        <v>624</v>
      </c>
      <c r="L138" s="3" t="s">
        <v>1202</v>
      </c>
    </row>
    <row r="139" customFormat="false" ht="23.85" hidden="false" customHeight="false" outlineLevel="0" collapsed="false">
      <c r="A139" s="7" t="s">
        <v>1203</v>
      </c>
      <c r="B139" s="7" t="s">
        <v>91</v>
      </c>
      <c r="C139" s="7" t="s">
        <v>1204</v>
      </c>
      <c r="D139" s="7" t="s">
        <v>1205</v>
      </c>
      <c r="E139" s="12" t="s">
        <v>1206</v>
      </c>
      <c r="F139" s="3" t="s">
        <v>638</v>
      </c>
      <c r="G139" s="3" t="s">
        <v>622</v>
      </c>
      <c r="H139" s="3" t="s">
        <v>639</v>
      </c>
      <c r="I139" s="10" t="n">
        <v>2</v>
      </c>
      <c r="J139" s="10" t="n">
        <v>3</v>
      </c>
      <c r="K139" s="3" t="s">
        <v>624</v>
      </c>
      <c r="L139" s="3" t="s">
        <v>1207</v>
      </c>
    </row>
    <row r="140" customFormat="false" ht="15" hidden="false" customHeight="false" outlineLevel="0" collapsed="false">
      <c r="A140" s="3" t="s">
        <v>1208</v>
      </c>
      <c r="B140" s="3" t="s">
        <v>91</v>
      </c>
      <c r="C140" s="3" t="s">
        <v>1209</v>
      </c>
      <c r="D140" s="3" t="s">
        <v>675</v>
      </c>
      <c r="E140" s="12" t="s">
        <v>1210</v>
      </c>
      <c r="F140" s="3" t="s">
        <v>638</v>
      </c>
      <c r="G140" s="3" t="s">
        <v>622</v>
      </c>
      <c r="H140" s="3" t="s">
        <v>639</v>
      </c>
      <c r="I140" s="10" t="n">
        <v>2</v>
      </c>
      <c r="J140" s="10"/>
      <c r="K140" s="3" t="s">
        <v>624</v>
      </c>
      <c r="L140" s="3" t="s">
        <v>1211</v>
      </c>
    </row>
    <row r="141" customFormat="false" ht="23.85" hidden="false" customHeight="false" outlineLevel="0" collapsed="false">
      <c r="A141" s="3" t="s">
        <v>1212</v>
      </c>
      <c r="B141" s="3" t="s">
        <v>91</v>
      </c>
      <c r="C141" s="3" t="s">
        <v>1213</v>
      </c>
      <c r="D141" s="3" t="s">
        <v>1205</v>
      </c>
      <c r="E141" s="12" t="s">
        <v>1214</v>
      </c>
      <c r="F141" s="3" t="s">
        <v>638</v>
      </c>
      <c r="G141" s="3" t="s">
        <v>622</v>
      </c>
      <c r="H141" s="3" t="s">
        <v>639</v>
      </c>
      <c r="I141" s="10" t="n">
        <v>3</v>
      </c>
      <c r="J141" s="10"/>
      <c r="K141" s="3" t="s">
        <v>624</v>
      </c>
      <c r="L141" s="3" t="s">
        <v>1215</v>
      </c>
    </row>
    <row r="142" customFormat="false" ht="15" hidden="false" customHeight="false" outlineLevel="0" collapsed="false">
      <c r="A142" s="3" t="s">
        <v>1216</v>
      </c>
      <c r="B142" s="3" t="s">
        <v>91</v>
      </c>
      <c r="C142" s="3" t="s">
        <v>1217</v>
      </c>
      <c r="D142" s="3" t="s">
        <v>675</v>
      </c>
      <c r="E142" s="12" t="s">
        <v>1218</v>
      </c>
      <c r="F142" s="3" t="s">
        <v>638</v>
      </c>
      <c r="G142" s="3" t="s">
        <v>622</v>
      </c>
      <c r="H142" s="3" t="s">
        <v>685</v>
      </c>
      <c r="I142" s="10" t="n">
        <v>3</v>
      </c>
      <c r="J142" s="10"/>
      <c r="K142" s="3" t="s">
        <v>624</v>
      </c>
      <c r="L142" s="3" t="s">
        <v>1219</v>
      </c>
    </row>
    <row r="143" customFormat="false" ht="23.85" hidden="false" customHeight="false" outlineLevel="0" collapsed="false">
      <c r="A143" s="7" t="s">
        <v>1220</v>
      </c>
      <c r="B143" s="7" t="s">
        <v>420</v>
      </c>
      <c r="C143" s="7" t="s">
        <v>1221</v>
      </c>
      <c r="D143" s="7" t="s">
        <v>619</v>
      </c>
      <c r="E143" s="12" t="s">
        <v>1222</v>
      </c>
      <c r="F143" s="3" t="s">
        <v>621</v>
      </c>
      <c r="G143" s="3" t="s">
        <v>622</v>
      </c>
      <c r="H143" s="3" t="s">
        <v>623</v>
      </c>
      <c r="I143" s="10" t="n">
        <v>1</v>
      </c>
      <c r="J143" s="10" t="n">
        <v>1</v>
      </c>
      <c r="K143" s="3" t="s">
        <v>624</v>
      </c>
      <c r="L143" s="3" t="s">
        <v>1223</v>
      </c>
    </row>
    <row r="144" customFormat="false" ht="15" hidden="false" customHeight="false" outlineLevel="0" collapsed="false">
      <c r="A144" s="7" t="s">
        <v>1224</v>
      </c>
      <c r="B144" s="7" t="s">
        <v>420</v>
      </c>
      <c r="C144" s="7" t="s">
        <v>1225</v>
      </c>
      <c r="D144" s="7" t="s">
        <v>628</v>
      </c>
      <c r="E144" s="12" t="s">
        <v>1226</v>
      </c>
      <c r="F144" s="3" t="s">
        <v>630</v>
      </c>
      <c r="G144" s="3" t="s">
        <v>622</v>
      </c>
      <c r="H144" s="3" t="s">
        <v>631</v>
      </c>
      <c r="I144" s="10" t="n">
        <v>1</v>
      </c>
      <c r="J144" s="10" t="n">
        <v>2</v>
      </c>
      <c r="K144" s="3" t="s">
        <v>624</v>
      </c>
      <c r="L144" s="3" t="s">
        <v>1227</v>
      </c>
    </row>
    <row r="145" customFormat="false" ht="35.05" hidden="false" customHeight="false" outlineLevel="0" collapsed="false">
      <c r="A145" s="7" t="s">
        <v>1228</v>
      </c>
      <c r="B145" s="7" t="s">
        <v>420</v>
      </c>
      <c r="C145" s="7" t="s">
        <v>1229</v>
      </c>
      <c r="D145" s="7" t="s">
        <v>714</v>
      </c>
      <c r="E145" s="12" t="s">
        <v>1230</v>
      </c>
      <c r="F145" s="3" t="s">
        <v>716</v>
      </c>
      <c r="G145" s="3" t="s">
        <v>622</v>
      </c>
      <c r="H145" s="3" t="s">
        <v>717</v>
      </c>
      <c r="I145" s="10" t="n">
        <v>1</v>
      </c>
      <c r="J145" s="10" t="n">
        <v>3</v>
      </c>
      <c r="K145" s="3" t="s">
        <v>755</v>
      </c>
      <c r="L145" s="3" t="s">
        <v>1231</v>
      </c>
    </row>
    <row r="146" customFormat="false" ht="23.85" hidden="false" customHeight="false" outlineLevel="0" collapsed="false">
      <c r="A146" s="3" t="s">
        <v>1232</v>
      </c>
      <c r="B146" s="3" t="s">
        <v>420</v>
      </c>
      <c r="C146" s="3" t="s">
        <v>1233</v>
      </c>
      <c r="D146" s="3" t="s">
        <v>619</v>
      </c>
      <c r="E146" s="12" t="s">
        <v>1234</v>
      </c>
      <c r="F146" s="3" t="s">
        <v>621</v>
      </c>
      <c r="G146" s="3" t="s">
        <v>622</v>
      </c>
      <c r="H146" s="3" t="s">
        <v>623</v>
      </c>
      <c r="I146" s="10" t="n">
        <v>3</v>
      </c>
      <c r="J146" s="10"/>
      <c r="K146" s="3" t="s">
        <v>624</v>
      </c>
      <c r="L146" s="3" t="s">
        <v>1235</v>
      </c>
    </row>
    <row r="147" customFormat="false" ht="23.85" hidden="false" customHeight="false" outlineLevel="0" collapsed="false">
      <c r="A147" s="7" t="s">
        <v>1236</v>
      </c>
      <c r="B147" s="7" t="s">
        <v>423</v>
      </c>
      <c r="C147" s="7" t="s">
        <v>1237</v>
      </c>
      <c r="D147" s="7" t="s">
        <v>1205</v>
      </c>
      <c r="E147" s="12" t="s">
        <v>1206</v>
      </c>
      <c r="F147" s="3" t="s">
        <v>638</v>
      </c>
      <c r="G147" s="3" t="s">
        <v>622</v>
      </c>
      <c r="H147" s="3" t="s">
        <v>639</v>
      </c>
      <c r="I147" s="10" t="n">
        <v>1</v>
      </c>
      <c r="J147" s="10" t="n">
        <v>1</v>
      </c>
      <c r="K147" s="3" t="s">
        <v>624</v>
      </c>
      <c r="L147" s="3" t="s">
        <v>1238</v>
      </c>
    </row>
    <row r="148" customFormat="false" ht="15" hidden="false" customHeight="false" outlineLevel="0" collapsed="false">
      <c r="A148" s="7" t="s">
        <v>1239</v>
      </c>
      <c r="B148" s="7" t="s">
        <v>423</v>
      </c>
      <c r="C148" s="7" t="s">
        <v>1240</v>
      </c>
      <c r="D148" s="7" t="s">
        <v>675</v>
      </c>
      <c r="E148" s="12" t="s">
        <v>1210</v>
      </c>
      <c r="F148" s="3" t="s">
        <v>638</v>
      </c>
      <c r="G148" s="3" t="s">
        <v>622</v>
      </c>
      <c r="H148" s="3" t="s">
        <v>639</v>
      </c>
      <c r="I148" s="10" t="n">
        <v>3</v>
      </c>
      <c r="J148" s="10" t="n">
        <v>2</v>
      </c>
      <c r="K148" s="3" t="s">
        <v>624</v>
      </c>
      <c r="L148" s="3" t="s">
        <v>1241</v>
      </c>
    </row>
    <row r="149" customFormat="false" ht="23.85" hidden="false" customHeight="false" outlineLevel="0" collapsed="false">
      <c r="A149" s="7" t="s">
        <v>1242</v>
      </c>
      <c r="B149" s="7" t="s">
        <v>151</v>
      </c>
      <c r="C149" s="7" t="s">
        <v>1243</v>
      </c>
      <c r="D149" s="7" t="s">
        <v>619</v>
      </c>
      <c r="E149" s="12" t="s">
        <v>1244</v>
      </c>
      <c r="F149" s="3" t="s">
        <v>621</v>
      </c>
      <c r="G149" s="3" t="s">
        <v>622</v>
      </c>
      <c r="H149" s="3" t="s">
        <v>623</v>
      </c>
      <c r="I149" s="10" t="n">
        <v>1</v>
      </c>
      <c r="J149" s="10" t="n">
        <v>1</v>
      </c>
      <c r="K149" s="3" t="s">
        <v>624</v>
      </c>
      <c r="L149" s="3" t="s">
        <v>1245</v>
      </c>
    </row>
    <row r="150" customFormat="false" ht="23.85" hidden="false" customHeight="false" outlineLevel="0" collapsed="false">
      <c r="A150" s="7" t="s">
        <v>1246</v>
      </c>
      <c r="B150" s="7" t="s">
        <v>151</v>
      </c>
      <c r="C150" s="7" t="s">
        <v>1247</v>
      </c>
      <c r="D150" s="7" t="s">
        <v>628</v>
      </c>
      <c r="E150" s="12" t="s">
        <v>1248</v>
      </c>
      <c r="F150" s="3" t="s">
        <v>630</v>
      </c>
      <c r="G150" s="3" t="s">
        <v>622</v>
      </c>
      <c r="H150" s="3" t="s">
        <v>631</v>
      </c>
      <c r="I150" s="10" t="n">
        <v>1</v>
      </c>
      <c r="J150" s="10" t="n">
        <v>2</v>
      </c>
      <c r="K150" s="3" t="s">
        <v>624</v>
      </c>
      <c r="L150" s="3" t="s">
        <v>1249</v>
      </c>
    </row>
    <row r="151" customFormat="false" ht="15" hidden="false" customHeight="false" outlineLevel="0" collapsed="false">
      <c r="A151" s="7" t="s">
        <v>1250</v>
      </c>
      <c r="B151" s="7" t="s">
        <v>151</v>
      </c>
      <c r="C151" s="7" t="s">
        <v>1251</v>
      </c>
      <c r="D151" s="7" t="s">
        <v>901</v>
      </c>
      <c r="E151" s="12" t="s">
        <v>1252</v>
      </c>
      <c r="F151" s="3" t="s">
        <v>638</v>
      </c>
      <c r="G151" s="3" t="s">
        <v>622</v>
      </c>
      <c r="H151" s="3" t="s">
        <v>639</v>
      </c>
      <c r="I151" s="10" t="n">
        <v>2</v>
      </c>
      <c r="J151" s="10" t="n">
        <v>3</v>
      </c>
      <c r="K151" s="3" t="s">
        <v>624</v>
      </c>
      <c r="L151" s="3" t="s">
        <v>1253</v>
      </c>
    </row>
    <row r="152" customFormat="false" ht="35.05" hidden="false" customHeight="false" outlineLevel="0" collapsed="false">
      <c r="A152" s="7" t="s">
        <v>1254</v>
      </c>
      <c r="B152" s="7" t="s">
        <v>426</v>
      </c>
      <c r="C152" s="7" t="s">
        <v>1255</v>
      </c>
      <c r="D152" s="7" t="s">
        <v>619</v>
      </c>
      <c r="E152" s="12" t="s">
        <v>1256</v>
      </c>
      <c r="F152" s="3" t="s">
        <v>621</v>
      </c>
      <c r="G152" s="3" t="s">
        <v>622</v>
      </c>
      <c r="H152" s="3" t="s">
        <v>623</v>
      </c>
      <c r="I152" s="10" t="n">
        <v>1</v>
      </c>
      <c r="J152" s="10" t="n">
        <v>1</v>
      </c>
      <c r="K152" s="3" t="s">
        <v>695</v>
      </c>
      <c r="L152" s="3" t="s">
        <v>1257</v>
      </c>
    </row>
    <row r="153" customFormat="false" ht="35.05" hidden="false" customHeight="false" outlineLevel="0" collapsed="false">
      <c r="A153" s="7" t="s">
        <v>1258</v>
      </c>
      <c r="B153" s="7" t="s">
        <v>426</v>
      </c>
      <c r="C153" s="7" t="s">
        <v>1259</v>
      </c>
      <c r="D153" s="7" t="s">
        <v>628</v>
      </c>
      <c r="E153" s="12" t="s">
        <v>1260</v>
      </c>
      <c r="F153" s="3" t="s">
        <v>630</v>
      </c>
      <c r="G153" s="3" t="s">
        <v>622</v>
      </c>
      <c r="H153" s="3" t="s">
        <v>631</v>
      </c>
      <c r="I153" s="10" t="n">
        <v>1</v>
      </c>
      <c r="J153" s="10" t="n">
        <v>2</v>
      </c>
      <c r="K153" s="3" t="s">
        <v>695</v>
      </c>
      <c r="L153" s="3" t="s">
        <v>1261</v>
      </c>
    </row>
    <row r="154" customFormat="false" ht="35.05" hidden="false" customHeight="false" outlineLevel="0" collapsed="false">
      <c r="A154" s="7" t="s">
        <v>1262</v>
      </c>
      <c r="B154" s="7" t="s">
        <v>427</v>
      </c>
      <c r="C154" s="7" t="s">
        <v>1263</v>
      </c>
      <c r="D154" s="7" t="s">
        <v>619</v>
      </c>
      <c r="E154" s="12" t="s">
        <v>1264</v>
      </c>
      <c r="F154" s="3" t="s">
        <v>621</v>
      </c>
      <c r="G154" s="3" t="s">
        <v>622</v>
      </c>
      <c r="H154" s="3" t="s">
        <v>623</v>
      </c>
      <c r="I154" s="10" t="n">
        <v>1</v>
      </c>
      <c r="J154" s="10" t="n">
        <v>1</v>
      </c>
      <c r="K154" s="3" t="s">
        <v>695</v>
      </c>
      <c r="L154" s="3" t="s">
        <v>1265</v>
      </c>
    </row>
    <row r="155" customFormat="false" ht="35.05" hidden="false" customHeight="false" outlineLevel="0" collapsed="false">
      <c r="A155" s="7" t="s">
        <v>1266</v>
      </c>
      <c r="B155" s="7" t="s">
        <v>427</v>
      </c>
      <c r="C155" s="7" t="s">
        <v>1267</v>
      </c>
      <c r="D155" s="7" t="s">
        <v>628</v>
      </c>
      <c r="E155" s="12" t="s">
        <v>1268</v>
      </c>
      <c r="F155" s="3" t="s">
        <v>630</v>
      </c>
      <c r="G155" s="3" t="s">
        <v>622</v>
      </c>
      <c r="H155" s="3" t="s">
        <v>631</v>
      </c>
      <c r="I155" s="10" t="n">
        <v>1</v>
      </c>
      <c r="J155" s="10" t="n">
        <v>2</v>
      </c>
      <c r="K155" s="3" t="s">
        <v>695</v>
      </c>
      <c r="L155" s="3" t="s">
        <v>1269</v>
      </c>
    </row>
    <row r="156" customFormat="false" ht="35.05" hidden="false" customHeight="false" outlineLevel="0" collapsed="false">
      <c r="A156" s="7" t="s">
        <v>1270</v>
      </c>
      <c r="B156" s="7" t="s">
        <v>428</v>
      </c>
      <c r="C156" s="7" t="s">
        <v>1271</v>
      </c>
      <c r="D156" s="7" t="s">
        <v>628</v>
      </c>
      <c r="E156" s="12" t="s">
        <v>1272</v>
      </c>
      <c r="F156" s="3" t="s">
        <v>630</v>
      </c>
      <c r="G156" s="3" t="s">
        <v>622</v>
      </c>
      <c r="H156" s="3" t="s">
        <v>631</v>
      </c>
      <c r="I156" s="10" t="n">
        <v>1</v>
      </c>
      <c r="J156" s="10" t="n">
        <v>1</v>
      </c>
      <c r="K156" s="3" t="s">
        <v>695</v>
      </c>
      <c r="L156" s="3" t="s">
        <v>1273</v>
      </c>
    </row>
    <row r="157" customFormat="false" ht="35.05" hidden="false" customHeight="false" outlineLevel="0" collapsed="false">
      <c r="A157" s="7" t="s">
        <v>1274</v>
      </c>
      <c r="B157" s="7" t="s">
        <v>428</v>
      </c>
      <c r="C157" s="7" t="s">
        <v>1275</v>
      </c>
      <c r="D157" s="7" t="s">
        <v>619</v>
      </c>
      <c r="E157" s="12" t="s">
        <v>1276</v>
      </c>
      <c r="F157" s="3" t="s">
        <v>621</v>
      </c>
      <c r="G157" s="3" t="s">
        <v>622</v>
      </c>
      <c r="H157" s="3" t="s">
        <v>623</v>
      </c>
      <c r="I157" s="10" t="n">
        <v>2</v>
      </c>
      <c r="J157" s="10" t="n">
        <v>2</v>
      </c>
      <c r="K157" s="3" t="s">
        <v>695</v>
      </c>
      <c r="L157" s="3" t="s">
        <v>774</v>
      </c>
    </row>
    <row r="158" customFormat="false" ht="35.05" hidden="false" customHeight="false" outlineLevel="0" collapsed="false">
      <c r="A158" s="7" t="s">
        <v>1277</v>
      </c>
      <c r="B158" s="7" t="s">
        <v>429</v>
      </c>
      <c r="C158" s="7" t="s">
        <v>1278</v>
      </c>
      <c r="D158" s="7" t="s">
        <v>628</v>
      </c>
      <c r="E158" s="12" t="s">
        <v>1279</v>
      </c>
      <c r="F158" s="3" t="s">
        <v>630</v>
      </c>
      <c r="G158" s="3" t="s">
        <v>622</v>
      </c>
      <c r="H158" s="3" t="s">
        <v>631</v>
      </c>
      <c r="I158" s="10" t="n">
        <v>1</v>
      </c>
      <c r="J158" s="10" t="n">
        <v>1</v>
      </c>
      <c r="K158" s="3" t="s">
        <v>695</v>
      </c>
      <c r="L158" s="3" t="s">
        <v>1280</v>
      </c>
    </row>
    <row r="159" customFormat="false" ht="35.05" hidden="false" customHeight="false" outlineLevel="0" collapsed="false">
      <c r="A159" s="7" t="s">
        <v>1281</v>
      </c>
      <c r="B159" s="7" t="s">
        <v>430</v>
      </c>
      <c r="C159" s="7" t="s">
        <v>1282</v>
      </c>
      <c r="D159" s="7" t="s">
        <v>619</v>
      </c>
      <c r="E159" s="12" t="s">
        <v>1283</v>
      </c>
      <c r="F159" s="3" t="s">
        <v>621</v>
      </c>
      <c r="G159" s="3" t="s">
        <v>622</v>
      </c>
      <c r="H159" s="3" t="s">
        <v>623</v>
      </c>
      <c r="I159" s="10" t="n">
        <v>1</v>
      </c>
      <c r="J159" s="10" t="n">
        <v>1</v>
      </c>
      <c r="K159" s="3" t="s">
        <v>695</v>
      </c>
      <c r="L159" s="3" t="s">
        <v>1284</v>
      </c>
    </row>
    <row r="160" customFormat="false" ht="15" hidden="false" customHeight="false" outlineLevel="0" collapsed="false">
      <c r="A160" s="7" t="s">
        <v>1285</v>
      </c>
      <c r="B160" s="7" t="s">
        <v>431</v>
      </c>
      <c r="C160" s="7" t="s">
        <v>1286</v>
      </c>
      <c r="D160" s="7" t="s">
        <v>619</v>
      </c>
      <c r="E160" s="12" t="s">
        <v>1287</v>
      </c>
      <c r="F160" s="3" t="s">
        <v>621</v>
      </c>
      <c r="G160" s="3" t="s">
        <v>622</v>
      </c>
      <c r="H160" s="3" t="s">
        <v>623</v>
      </c>
      <c r="I160" s="10" t="n">
        <v>1</v>
      </c>
      <c r="J160" s="10" t="n">
        <v>1</v>
      </c>
      <c r="K160" s="3" t="s">
        <v>624</v>
      </c>
      <c r="L160" s="3" t="s">
        <v>1288</v>
      </c>
    </row>
    <row r="161" customFormat="false" ht="23.85" hidden="false" customHeight="false" outlineLevel="0" collapsed="false">
      <c r="A161" s="7" t="s">
        <v>1289</v>
      </c>
      <c r="B161" s="7" t="s">
        <v>431</v>
      </c>
      <c r="C161" s="7" t="s">
        <v>1290</v>
      </c>
      <c r="D161" s="7" t="s">
        <v>714</v>
      </c>
      <c r="E161" s="12" t="s">
        <v>1291</v>
      </c>
      <c r="F161" s="3" t="s">
        <v>716</v>
      </c>
      <c r="G161" s="3" t="s">
        <v>622</v>
      </c>
      <c r="H161" s="3" t="s">
        <v>717</v>
      </c>
      <c r="I161" s="10" t="n">
        <v>1</v>
      </c>
      <c r="J161" s="10" t="n">
        <v>2</v>
      </c>
      <c r="K161" s="3" t="s">
        <v>632</v>
      </c>
      <c r="L161" s="3" t="s">
        <v>1292</v>
      </c>
    </row>
    <row r="162" customFormat="false" ht="15" hidden="false" customHeight="false" outlineLevel="0" collapsed="false">
      <c r="A162" s="7" t="s">
        <v>1293</v>
      </c>
      <c r="B162" s="7" t="s">
        <v>431</v>
      </c>
      <c r="C162" s="7" t="s">
        <v>1294</v>
      </c>
      <c r="D162" s="7" t="s">
        <v>628</v>
      </c>
      <c r="E162" s="12" t="s">
        <v>1295</v>
      </c>
      <c r="F162" s="3" t="s">
        <v>630</v>
      </c>
      <c r="G162" s="3" t="s">
        <v>622</v>
      </c>
      <c r="H162" s="3" t="s">
        <v>631</v>
      </c>
      <c r="I162" s="10" t="n">
        <v>2</v>
      </c>
      <c r="J162" s="10" t="n">
        <v>3</v>
      </c>
      <c r="K162" s="3" t="s">
        <v>624</v>
      </c>
      <c r="L162" s="3" t="s">
        <v>1296</v>
      </c>
    </row>
    <row r="163" customFormat="false" ht="23.85" hidden="false" customHeight="false" outlineLevel="0" collapsed="false">
      <c r="A163" s="7" t="s">
        <v>1297</v>
      </c>
      <c r="B163" s="7" t="s">
        <v>433</v>
      </c>
      <c r="C163" s="7" t="s">
        <v>1298</v>
      </c>
      <c r="D163" s="7" t="s">
        <v>619</v>
      </c>
      <c r="E163" s="12" t="s">
        <v>1299</v>
      </c>
      <c r="F163" s="3" t="s">
        <v>621</v>
      </c>
      <c r="G163" s="3" t="s">
        <v>622</v>
      </c>
      <c r="H163" s="3" t="s">
        <v>623</v>
      </c>
      <c r="I163" s="10" t="n">
        <v>1</v>
      </c>
      <c r="J163" s="10" t="n">
        <v>1</v>
      </c>
      <c r="K163" s="3" t="s">
        <v>624</v>
      </c>
      <c r="L163" s="3" t="s">
        <v>1300</v>
      </c>
    </row>
    <row r="164" customFormat="false" ht="15" hidden="false" customHeight="false" outlineLevel="0" collapsed="false">
      <c r="A164" s="7" t="s">
        <v>1301</v>
      </c>
      <c r="B164" s="7" t="s">
        <v>433</v>
      </c>
      <c r="C164" s="7" t="s">
        <v>1302</v>
      </c>
      <c r="D164" s="7" t="s">
        <v>675</v>
      </c>
      <c r="E164" s="12" t="s">
        <v>1303</v>
      </c>
      <c r="F164" s="3" t="s">
        <v>638</v>
      </c>
      <c r="G164" s="3" t="s">
        <v>622</v>
      </c>
      <c r="H164" s="3" t="s">
        <v>685</v>
      </c>
      <c r="I164" s="10" t="n">
        <v>3</v>
      </c>
      <c r="J164" s="10" t="n">
        <v>2</v>
      </c>
      <c r="K164" s="3" t="s">
        <v>624</v>
      </c>
      <c r="L164" s="3" t="s">
        <v>1304</v>
      </c>
    </row>
    <row r="165" customFormat="false" ht="23.85" hidden="false" customHeight="false" outlineLevel="0" collapsed="false">
      <c r="A165" s="7" t="s">
        <v>1305</v>
      </c>
      <c r="B165" s="7" t="s">
        <v>433</v>
      </c>
      <c r="C165" s="7" t="s">
        <v>1306</v>
      </c>
      <c r="D165" s="7" t="s">
        <v>1307</v>
      </c>
      <c r="E165" s="12" t="s">
        <v>1308</v>
      </c>
      <c r="F165" s="3" t="s">
        <v>638</v>
      </c>
      <c r="G165" s="3" t="s">
        <v>622</v>
      </c>
      <c r="H165" s="3" t="s">
        <v>639</v>
      </c>
      <c r="I165" s="10" t="n">
        <v>3</v>
      </c>
      <c r="J165" s="10" t="n">
        <v>3</v>
      </c>
      <c r="K165" s="3" t="s">
        <v>624</v>
      </c>
      <c r="L165" s="3" t="s">
        <v>1309</v>
      </c>
    </row>
    <row r="166" customFormat="false" ht="23.85" hidden="false" customHeight="false" outlineLevel="0" collapsed="false">
      <c r="A166" s="7" t="s">
        <v>1310</v>
      </c>
      <c r="B166" s="7" t="s">
        <v>59</v>
      </c>
      <c r="C166" s="7" t="s">
        <v>61</v>
      </c>
      <c r="D166" s="7" t="s">
        <v>619</v>
      </c>
      <c r="E166" s="12" t="s">
        <v>1311</v>
      </c>
      <c r="F166" s="3" t="s">
        <v>621</v>
      </c>
      <c r="G166" s="3" t="s">
        <v>622</v>
      </c>
      <c r="H166" s="3" t="s">
        <v>623</v>
      </c>
      <c r="I166" s="10" t="n">
        <v>1</v>
      </c>
      <c r="J166" s="10" t="n">
        <v>1</v>
      </c>
      <c r="K166" s="3" t="s">
        <v>624</v>
      </c>
      <c r="L166" s="3" t="s">
        <v>1312</v>
      </c>
    </row>
    <row r="167" customFormat="false" ht="35.05" hidden="false" customHeight="false" outlineLevel="0" collapsed="false">
      <c r="A167" s="7" t="s">
        <v>1313</v>
      </c>
      <c r="B167" s="7" t="s">
        <v>59</v>
      </c>
      <c r="C167" s="7" t="s">
        <v>1314</v>
      </c>
      <c r="D167" s="7" t="s">
        <v>628</v>
      </c>
      <c r="E167" s="12" t="s">
        <v>1315</v>
      </c>
      <c r="F167" s="3" t="s">
        <v>630</v>
      </c>
      <c r="G167" s="3" t="s">
        <v>622</v>
      </c>
      <c r="H167" s="3" t="s">
        <v>631</v>
      </c>
      <c r="I167" s="10" t="n">
        <v>1</v>
      </c>
      <c r="J167" s="10" t="n">
        <v>2</v>
      </c>
      <c r="K167" s="3" t="s">
        <v>695</v>
      </c>
      <c r="L167" s="3" t="s">
        <v>1316</v>
      </c>
    </row>
    <row r="168" customFormat="false" ht="15" hidden="false" customHeight="false" outlineLevel="0" collapsed="false">
      <c r="A168" s="7" t="s">
        <v>1317</v>
      </c>
      <c r="B168" s="7" t="s">
        <v>59</v>
      </c>
      <c r="C168" s="7" t="s">
        <v>1318</v>
      </c>
      <c r="D168" s="7" t="s">
        <v>675</v>
      </c>
      <c r="E168" s="12" t="s">
        <v>1319</v>
      </c>
      <c r="F168" s="3" t="s">
        <v>621</v>
      </c>
      <c r="G168" s="3" t="s">
        <v>622</v>
      </c>
      <c r="H168" s="3" t="s">
        <v>623</v>
      </c>
      <c r="I168" s="10" t="n">
        <v>3</v>
      </c>
      <c r="J168" s="10" t="n">
        <v>3</v>
      </c>
      <c r="K168" s="3" t="s">
        <v>624</v>
      </c>
      <c r="L168" s="3" t="s">
        <v>1320</v>
      </c>
    </row>
    <row r="169" customFormat="false" ht="23.85" hidden="false" customHeight="false" outlineLevel="0" collapsed="false">
      <c r="A169" s="7" t="s">
        <v>1321</v>
      </c>
      <c r="B169" s="7" t="s">
        <v>435</v>
      </c>
      <c r="C169" s="7" t="s">
        <v>1322</v>
      </c>
      <c r="D169" s="7" t="s">
        <v>619</v>
      </c>
      <c r="E169" s="12" t="s">
        <v>1323</v>
      </c>
      <c r="F169" s="3" t="s">
        <v>621</v>
      </c>
      <c r="G169" s="3" t="s">
        <v>622</v>
      </c>
      <c r="H169" s="3" t="s">
        <v>623</v>
      </c>
      <c r="I169" s="10" t="n">
        <v>1</v>
      </c>
      <c r="J169" s="10" t="n">
        <v>1</v>
      </c>
      <c r="K169" s="3" t="s">
        <v>624</v>
      </c>
      <c r="L169" s="3" t="s">
        <v>1324</v>
      </c>
    </row>
    <row r="170" customFormat="false" ht="15" hidden="false" customHeight="false" outlineLevel="0" collapsed="false">
      <c r="A170" s="7" t="s">
        <v>1325</v>
      </c>
      <c r="B170" s="7" t="s">
        <v>435</v>
      </c>
      <c r="C170" s="7" t="s">
        <v>1326</v>
      </c>
      <c r="D170" s="7" t="s">
        <v>675</v>
      </c>
      <c r="E170" s="12" t="s">
        <v>1327</v>
      </c>
      <c r="F170" s="3" t="s">
        <v>638</v>
      </c>
      <c r="G170" s="3" t="s">
        <v>622</v>
      </c>
      <c r="H170" s="3" t="s">
        <v>685</v>
      </c>
      <c r="I170" s="10" t="n">
        <v>3</v>
      </c>
      <c r="J170" s="10" t="n">
        <v>2</v>
      </c>
      <c r="K170" s="3" t="s">
        <v>624</v>
      </c>
      <c r="L170" s="3" t="s">
        <v>1328</v>
      </c>
    </row>
    <row r="171" customFormat="false" ht="35.05" hidden="false" customHeight="false" outlineLevel="0" collapsed="false">
      <c r="A171" s="7" t="s">
        <v>1329</v>
      </c>
      <c r="B171" s="7" t="s">
        <v>437</v>
      </c>
      <c r="C171" s="7" t="s">
        <v>1330</v>
      </c>
      <c r="D171" s="7" t="s">
        <v>901</v>
      </c>
      <c r="E171" s="12" t="s">
        <v>1331</v>
      </c>
      <c r="F171" s="3" t="s">
        <v>638</v>
      </c>
      <c r="G171" s="3" t="s">
        <v>1332</v>
      </c>
      <c r="H171" s="3" t="s">
        <v>765</v>
      </c>
      <c r="I171" s="10" t="n">
        <v>2</v>
      </c>
      <c r="J171" s="10" t="n">
        <v>1</v>
      </c>
      <c r="K171" s="3" t="s">
        <v>755</v>
      </c>
      <c r="L171" s="3" t="s">
        <v>1333</v>
      </c>
    </row>
    <row r="172" customFormat="false" ht="35.05" hidden="false" customHeight="false" outlineLevel="0" collapsed="false">
      <c r="A172" s="7" t="s">
        <v>1334</v>
      </c>
      <c r="B172" s="7" t="s">
        <v>437</v>
      </c>
      <c r="C172" s="7" t="s">
        <v>1335</v>
      </c>
      <c r="D172" s="7" t="s">
        <v>1336</v>
      </c>
      <c r="E172" s="12" t="s">
        <v>1337</v>
      </c>
      <c r="F172" s="3" t="s">
        <v>638</v>
      </c>
      <c r="G172" s="3" t="s">
        <v>622</v>
      </c>
      <c r="H172" s="3" t="s">
        <v>639</v>
      </c>
      <c r="I172" s="10" t="n">
        <v>1</v>
      </c>
      <c r="J172" s="10" t="n">
        <v>2</v>
      </c>
      <c r="K172" s="3" t="s">
        <v>755</v>
      </c>
      <c r="L172" s="3" t="s">
        <v>1338</v>
      </c>
    </row>
    <row r="173" customFormat="false" ht="35.05" hidden="false" customHeight="false" outlineLevel="0" collapsed="false">
      <c r="A173" s="7" t="s">
        <v>1339</v>
      </c>
      <c r="B173" s="7" t="s">
        <v>442</v>
      </c>
      <c r="C173" s="7" t="s">
        <v>1340</v>
      </c>
      <c r="D173" s="7" t="s">
        <v>628</v>
      </c>
      <c r="E173" s="12" t="s">
        <v>1341</v>
      </c>
      <c r="F173" s="3" t="s">
        <v>630</v>
      </c>
      <c r="G173" s="3" t="s">
        <v>622</v>
      </c>
      <c r="H173" s="3" t="s">
        <v>631</v>
      </c>
      <c r="I173" s="10" t="n">
        <v>3</v>
      </c>
      <c r="J173" s="10" t="n">
        <v>1</v>
      </c>
      <c r="K173" s="3" t="s">
        <v>695</v>
      </c>
      <c r="L173" s="3" t="s">
        <v>1342</v>
      </c>
    </row>
    <row r="174" customFormat="false" ht="15" hidden="false" customHeight="false" outlineLevel="0" collapsed="false">
      <c r="A174" s="7" t="s">
        <v>1343</v>
      </c>
      <c r="B174" s="7" t="s">
        <v>71</v>
      </c>
      <c r="C174" s="7" t="s">
        <v>1344</v>
      </c>
      <c r="D174" s="7" t="s">
        <v>619</v>
      </c>
      <c r="E174" s="12" t="s">
        <v>1345</v>
      </c>
      <c r="F174" s="3" t="s">
        <v>621</v>
      </c>
      <c r="G174" s="3" t="s">
        <v>622</v>
      </c>
      <c r="H174" s="3" t="s">
        <v>623</v>
      </c>
      <c r="I174" s="10" t="n">
        <v>1</v>
      </c>
      <c r="J174" s="10" t="n">
        <v>1</v>
      </c>
      <c r="K174" s="3" t="s">
        <v>624</v>
      </c>
      <c r="L174" s="3" t="s">
        <v>1346</v>
      </c>
    </row>
    <row r="175" customFormat="false" ht="23.85" hidden="false" customHeight="false" outlineLevel="0" collapsed="false">
      <c r="A175" s="7" t="s">
        <v>1347</v>
      </c>
      <c r="B175" s="7" t="s">
        <v>71</v>
      </c>
      <c r="C175" s="7" t="s">
        <v>1348</v>
      </c>
      <c r="D175" s="7" t="s">
        <v>647</v>
      </c>
      <c r="E175" s="12" t="s">
        <v>1349</v>
      </c>
      <c r="F175" s="3" t="s">
        <v>649</v>
      </c>
      <c r="G175" s="3" t="s">
        <v>622</v>
      </c>
      <c r="H175" s="3" t="s">
        <v>650</v>
      </c>
      <c r="I175" s="10" t="n">
        <v>1</v>
      </c>
      <c r="J175" s="10" t="n">
        <v>2</v>
      </c>
      <c r="K175" s="3" t="s">
        <v>632</v>
      </c>
      <c r="L175" s="3" t="s">
        <v>1350</v>
      </c>
    </row>
    <row r="176" customFormat="false" ht="15" hidden="false" customHeight="false" outlineLevel="0" collapsed="false">
      <c r="A176" s="7" t="s">
        <v>1351</v>
      </c>
      <c r="B176" s="7" t="s">
        <v>71</v>
      </c>
      <c r="C176" s="7" t="s">
        <v>1352</v>
      </c>
      <c r="D176" s="7" t="s">
        <v>1066</v>
      </c>
      <c r="E176" s="12" t="s">
        <v>1353</v>
      </c>
      <c r="F176" s="3" t="s">
        <v>630</v>
      </c>
      <c r="G176" s="3" t="s">
        <v>622</v>
      </c>
      <c r="H176" s="3" t="s">
        <v>631</v>
      </c>
      <c r="I176" s="10" t="n">
        <v>2</v>
      </c>
      <c r="J176" s="10" t="n">
        <v>3</v>
      </c>
      <c r="K176" s="3" t="s">
        <v>624</v>
      </c>
      <c r="L176" s="3" t="s">
        <v>1354</v>
      </c>
    </row>
    <row r="177" customFormat="false" ht="35.05" hidden="false" customHeight="false" outlineLevel="0" collapsed="false">
      <c r="A177" s="7" t="s">
        <v>1355</v>
      </c>
      <c r="B177" s="7" t="s">
        <v>445</v>
      </c>
      <c r="C177" s="7" t="s">
        <v>1356</v>
      </c>
      <c r="D177" s="7" t="s">
        <v>628</v>
      </c>
      <c r="E177" s="12" t="s">
        <v>1357</v>
      </c>
      <c r="F177" s="3" t="s">
        <v>630</v>
      </c>
      <c r="G177" s="3" t="s">
        <v>622</v>
      </c>
      <c r="H177" s="3" t="s">
        <v>631</v>
      </c>
      <c r="I177" s="10" t="n">
        <v>1</v>
      </c>
      <c r="J177" s="10" t="n">
        <v>1</v>
      </c>
      <c r="K177" s="3" t="s">
        <v>695</v>
      </c>
      <c r="L177" s="3" t="s">
        <v>1358</v>
      </c>
    </row>
    <row r="178" customFormat="false" ht="15" hidden="false" customHeight="false" outlineLevel="0" collapsed="false">
      <c r="A178" s="7" t="s">
        <v>1359</v>
      </c>
      <c r="B178" s="7" t="s">
        <v>448</v>
      </c>
      <c r="C178" s="7" t="s">
        <v>1360</v>
      </c>
      <c r="D178" s="7" t="s">
        <v>619</v>
      </c>
      <c r="E178" s="12" t="s">
        <v>1361</v>
      </c>
      <c r="F178" s="3" t="s">
        <v>621</v>
      </c>
      <c r="G178" s="3" t="s">
        <v>622</v>
      </c>
      <c r="H178" s="3" t="s">
        <v>623</v>
      </c>
      <c r="I178" s="10" t="n">
        <v>1</v>
      </c>
      <c r="J178" s="10" t="n">
        <v>1</v>
      </c>
      <c r="K178" s="3" t="s">
        <v>624</v>
      </c>
      <c r="L178" s="3" t="s">
        <v>1362</v>
      </c>
    </row>
    <row r="179" customFormat="false" ht="15" hidden="false" customHeight="false" outlineLevel="0" collapsed="false">
      <c r="A179" s="7" t="s">
        <v>1363</v>
      </c>
      <c r="B179" s="7" t="s">
        <v>448</v>
      </c>
      <c r="C179" s="7" t="s">
        <v>1364</v>
      </c>
      <c r="D179" s="7" t="s">
        <v>628</v>
      </c>
      <c r="E179" s="12" t="s">
        <v>1365</v>
      </c>
      <c r="F179" s="3" t="s">
        <v>630</v>
      </c>
      <c r="G179" s="3" t="s">
        <v>622</v>
      </c>
      <c r="H179" s="3" t="s">
        <v>1366</v>
      </c>
      <c r="I179" s="10" t="n">
        <v>1</v>
      </c>
      <c r="J179" s="10" t="n">
        <v>2</v>
      </c>
      <c r="K179" s="3" t="s">
        <v>624</v>
      </c>
      <c r="L179" s="3" t="s">
        <v>1367</v>
      </c>
    </row>
    <row r="180" customFormat="false" ht="23.85" hidden="false" customHeight="false" outlineLevel="0" collapsed="false">
      <c r="A180" s="7" t="s">
        <v>1368</v>
      </c>
      <c r="B180" s="7" t="s">
        <v>448</v>
      </c>
      <c r="C180" s="7" t="s">
        <v>1369</v>
      </c>
      <c r="D180" s="7" t="s">
        <v>714</v>
      </c>
      <c r="E180" s="12" t="s">
        <v>1370</v>
      </c>
      <c r="F180" s="3" t="s">
        <v>716</v>
      </c>
      <c r="G180" s="3" t="s">
        <v>622</v>
      </c>
      <c r="H180" s="3" t="s">
        <v>746</v>
      </c>
      <c r="I180" s="10" t="n">
        <v>1</v>
      </c>
      <c r="J180" s="10" t="n">
        <v>3</v>
      </c>
      <c r="K180" s="3" t="s">
        <v>624</v>
      </c>
      <c r="L180" s="3" t="s">
        <v>1371</v>
      </c>
    </row>
    <row r="181" customFormat="false" ht="23.85" hidden="false" customHeight="false" outlineLevel="0" collapsed="false">
      <c r="A181" s="7" t="s">
        <v>1372</v>
      </c>
      <c r="B181" s="7" t="s">
        <v>451</v>
      </c>
      <c r="C181" s="7" t="s">
        <v>1373</v>
      </c>
      <c r="D181" s="7" t="s">
        <v>619</v>
      </c>
      <c r="E181" s="12" t="s">
        <v>1374</v>
      </c>
      <c r="F181" s="3" t="s">
        <v>621</v>
      </c>
      <c r="G181" s="3" t="s">
        <v>622</v>
      </c>
      <c r="H181" s="3" t="s">
        <v>623</v>
      </c>
      <c r="I181" s="10" t="n">
        <v>1</v>
      </c>
      <c r="J181" s="10" t="n">
        <v>1</v>
      </c>
      <c r="K181" s="3" t="s">
        <v>624</v>
      </c>
      <c r="L181" s="3" t="s">
        <v>1375</v>
      </c>
    </row>
    <row r="182" customFormat="false" ht="15" hidden="false" customHeight="false" outlineLevel="0" collapsed="false">
      <c r="A182" s="7" t="s">
        <v>1376</v>
      </c>
      <c r="B182" s="7" t="s">
        <v>451</v>
      </c>
      <c r="C182" s="7" t="s">
        <v>1377</v>
      </c>
      <c r="D182" s="7" t="s">
        <v>628</v>
      </c>
      <c r="E182" s="12" t="s">
        <v>1378</v>
      </c>
      <c r="F182" s="3" t="s">
        <v>630</v>
      </c>
      <c r="G182" s="3" t="s">
        <v>622</v>
      </c>
      <c r="H182" s="3" t="s">
        <v>631</v>
      </c>
      <c r="I182" s="10" t="n">
        <v>1</v>
      </c>
      <c r="J182" s="10" t="n">
        <v>2</v>
      </c>
      <c r="K182" s="3" t="s">
        <v>624</v>
      </c>
      <c r="L182" s="3" t="s">
        <v>1379</v>
      </c>
    </row>
    <row r="183" customFormat="false" ht="23.85" hidden="false" customHeight="false" outlineLevel="0" collapsed="false">
      <c r="A183" s="7" t="s">
        <v>1380</v>
      </c>
      <c r="B183" s="7" t="s">
        <v>451</v>
      </c>
      <c r="C183" s="7" t="s">
        <v>1381</v>
      </c>
      <c r="D183" s="7" t="s">
        <v>714</v>
      </c>
      <c r="E183" s="12" t="s">
        <v>1382</v>
      </c>
      <c r="F183" s="3" t="s">
        <v>716</v>
      </c>
      <c r="G183" s="3" t="s">
        <v>622</v>
      </c>
      <c r="H183" s="3" t="s">
        <v>717</v>
      </c>
      <c r="I183" s="10" t="n">
        <v>2</v>
      </c>
      <c r="J183" s="10" t="n">
        <v>3</v>
      </c>
      <c r="K183" s="3" t="s">
        <v>632</v>
      </c>
      <c r="L183" s="3" t="s">
        <v>1383</v>
      </c>
    </row>
    <row r="184" customFormat="false" ht="23.85" hidden="false" customHeight="false" outlineLevel="0" collapsed="false">
      <c r="A184" s="7" t="s">
        <v>1384</v>
      </c>
      <c r="B184" s="7" t="s">
        <v>454</v>
      </c>
      <c r="C184" s="7" t="s">
        <v>1385</v>
      </c>
      <c r="D184" s="7" t="s">
        <v>628</v>
      </c>
      <c r="E184" s="12" t="s">
        <v>1386</v>
      </c>
      <c r="F184" s="3" t="s">
        <v>630</v>
      </c>
      <c r="G184" s="3" t="s">
        <v>622</v>
      </c>
      <c r="H184" s="3" t="s">
        <v>631</v>
      </c>
      <c r="I184" s="10" t="n">
        <v>1</v>
      </c>
      <c r="J184" s="10" t="n">
        <v>1</v>
      </c>
      <c r="K184" s="3" t="s">
        <v>624</v>
      </c>
      <c r="L184" s="3" t="s">
        <v>1387</v>
      </c>
    </row>
    <row r="185" customFormat="false" ht="35.05" hidden="false" customHeight="false" outlineLevel="0" collapsed="false">
      <c r="A185" s="7" t="s">
        <v>1388</v>
      </c>
      <c r="B185" s="7" t="s">
        <v>455</v>
      </c>
      <c r="C185" s="7" t="s">
        <v>1389</v>
      </c>
      <c r="D185" s="7" t="s">
        <v>619</v>
      </c>
      <c r="E185" s="12" t="s">
        <v>1390</v>
      </c>
      <c r="F185" s="3" t="s">
        <v>621</v>
      </c>
      <c r="G185" s="3" t="s">
        <v>622</v>
      </c>
      <c r="H185" s="3" t="s">
        <v>623</v>
      </c>
      <c r="I185" s="10" t="n">
        <v>1</v>
      </c>
      <c r="J185" s="10" t="n">
        <v>1</v>
      </c>
      <c r="K185" s="3" t="s">
        <v>695</v>
      </c>
      <c r="L185" s="3" t="s">
        <v>1358</v>
      </c>
    </row>
    <row r="186" customFormat="false" ht="35.05" hidden="false" customHeight="false" outlineLevel="0" collapsed="false">
      <c r="A186" s="7" t="s">
        <v>1391</v>
      </c>
      <c r="B186" s="7" t="s">
        <v>457</v>
      </c>
      <c r="C186" s="7" t="s">
        <v>1392</v>
      </c>
      <c r="D186" s="7" t="s">
        <v>619</v>
      </c>
      <c r="E186" s="12" t="s">
        <v>1393</v>
      </c>
      <c r="F186" s="3" t="s">
        <v>621</v>
      </c>
      <c r="G186" s="3" t="s">
        <v>622</v>
      </c>
      <c r="H186" s="3" t="s">
        <v>623</v>
      </c>
      <c r="I186" s="10" t="n">
        <v>1</v>
      </c>
      <c r="J186" s="10" t="n">
        <v>1</v>
      </c>
      <c r="K186" s="3" t="s">
        <v>695</v>
      </c>
      <c r="L186" s="3" t="s">
        <v>1394</v>
      </c>
    </row>
    <row r="187" customFormat="false" ht="35.05" hidden="false" customHeight="false" outlineLevel="0" collapsed="false">
      <c r="A187" s="7" t="s">
        <v>1395</v>
      </c>
      <c r="B187" s="7" t="s">
        <v>459</v>
      </c>
      <c r="C187" s="7" t="s">
        <v>1396</v>
      </c>
      <c r="D187" s="7" t="s">
        <v>1336</v>
      </c>
      <c r="E187" s="12" t="s">
        <v>1397</v>
      </c>
      <c r="F187" s="3" t="s">
        <v>630</v>
      </c>
      <c r="G187" s="3" t="s">
        <v>622</v>
      </c>
      <c r="H187" s="3" t="s">
        <v>631</v>
      </c>
      <c r="I187" s="10" t="n">
        <v>1</v>
      </c>
      <c r="J187" s="10" t="n">
        <v>1</v>
      </c>
      <c r="K187" s="3" t="s">
        <v>695</v>
      </c>
      <c r="L187" s="3" t="s">
        <v>1398</v>
      </c>
    </row>
    <row r="188" customFormat="false" ht="23.85" hidden="false" customHeight="false" outlineLevel="0" collapsed="false">
      <c r="A188" s="7" t="s">
        <v>1399</v>
      </c>
      <c r="B188" s="7" t="s">
        <v>459</v>
      </c>
      <c r="C188" s="7" t="s">
        <v>1400</v>
      </c>
      <c r="D188" s="7" t="s">
        <v>714</v>
      </c>
      <c r="E188" s="12" t="s">
        <v>1401</v>
      </c>
      <c r="F188" s="3" t="s">
        <v>716</v>
      </c>
      <c r="G188" s="3" t="s">
        <v>622</v>
      </c>
      <c r="H188" s="3" t="s">
        <v>717</v>
      </c>
      <c r="I188" s="10" t="n">
        <v>1</v>
      </c>
      <c r="J188" s="10" t="n">
        <v>2</v>
      </c>
      <c r="K188" s="3" t="s">
        <v>624</v>
      </c>
      <c r="L188" s="3" t="s">
        <v>1402</v>
      </c>
    </row>
    <row r="189" customFormat="false" ht="23.85" hidden="false" customHeight="false" outlineLevel="0" collapsed="false">
      <c r="A189" s="7" t="s">
        <v>1403</v>
      </c>
      <c r="B189" s="7" t="s">
        <v>465</v>
      </c>
      <c r="C189" s="7" t="s">
        <v>1404</v>
      </c>
      <c r="D189" s="7" t="s">
        <v>636</v>
      </c>
      <c r="E189" s="12" t="s">
        <v>1405</v>
      </c>
      <c r="F189" s="3" t="s">
        <v>1406</v>
      </c>
      <c r="G189" s="3" t="s">
        <v>622</v>
      </c>
      <c r="H189" s="3" t="s">
        <v>639</v>
      </c>
      <c r="I189" s="10" t="n">
        <v>1</v>
      </c>
      <c r="J189" s="10" t="n">
        <v>1</v>
      </c>
      <c r="K189" s="3" t="s">
        <v>624</v>
      </c>
      <c r="L189" s="3" t="s">
        <v>1407</v>
      </c>
    </row>
    <row r="190" customFormat="false" ht="23.85" hidden="false" customHeight="false" outlineLevel="0" collapsed="false">
      <c r="A190" s="7" t="s">
        <v>1408</v>
      </c>
      <c r="B190" s="7" t="s">
        <v>465</v>
      </c>
      <c r="C190" s="7" t="s">
        <v>1409</v>
      </c>
      <c r="D190" s="7" t="s">
        <v>636</v>
      </c>
      <c r="E190" s="12" t="s">
        <v>1410</v>
      </c>
      <c r="F190" s="3" t="s">
        <v>630</v>
      </c>
      <c r="G190" s="3" t="s">
        <v>622</v>
      </c>
      <c r="H190" s="3" t="s">
        <v>631</v>
      </c>
      <c r="I190" s="10" t="n">
        <v>1</v>
      </c>
      <c r="J190" s="10" t="n">
        <v>2</v>
      </c>
      <c r="K190" s="3" t="s">
        <v>624</v>
      </c>
      <c r="L190" s="3" t="s">
        <v>1411</v>
      </c>
    </row>
    <row r="191" customFormat="false" ht="23.85" hidden="false" customHeight="false" outlineLevel="0" collapsed="false">
      <c r="A191" s="7" t="s">
        <v>1412</v>
      </c>
      <c r="B191" s="7" t="s">
        <v>465</v>
      </c>
      <c r="C191" s="7" t="s">
        <v>1413</v>
      </c>
      <c r="D191" s="7" t="s">
        <v>1414</v>
      </c>
      <c r="E191" s="12" t="s">
        <v>1415</v>
      </c>
      <c r="F191" s="3" t="s">
        <v>638</v>
      </c>
      <c r="G191" s="3" t="s">
        <v>622</v>
      </c>
      <c r="H191" s="3" t="s">
        <v>639</v>
      </c>
      <c r="I191" s="10" t="n">
        <v>1</v>
      </c>
      <c r="J191" s="10" t="n">
        <v>3</v>
      </c>
      <c r="K191" s="3" t="s">
        <v>624</v>
      </c>
      <c r="L191" s="3" t="s">
        <v>1416</v>
      </c>
    </row>
    <row r="192" customFormat="false" ht="23.85" hidden="false" customHeight="false" outlineLevel="0" collapsed="false">
      <c r="A192" s="3" t="s">
        <v>1417</v>
      </c>
      <c r="B192" s="3" t="s">
        <v>465</v>
      </c>
      <c r="C192" s="3" t="s">
        <v>1418</v>
      </c>
      <c r="D192" s="3" t="s">
        <v>1414</v>
      </c>
      <c r="E192" s="12" t="s">
        <v>1419</v>
      </c>
      <c r="F192" s="3" t="s">
        <v>630</v>
      </c>
      <c r="G192" s="3" t="s">
        <v>622</v>
      </c>
      <c r="H192" s="3" t="s">
        <v>631</v>
      </c>
      <c r="I192" s="10" t="n">
        <v>3</v>
      </c>
      <c r="J192" s="10"/>
      <c r="K192" s="3" t="s">
        <v>624</v>
      </c>
      <c r="L192" s="3" t="s">
        <v>1420</v>
      </c>
    </row>
    <row r="193" customFormat="false" ht="23.85" hidden="false" customHeight="false" outlineLevel="0" collapsed="false">
      <c r="A193" s="7" t="s">
        <v>1421</v>
      </c>
      <c r="B193" s="7" t="s">
        <v>468</v>
      </c>
      <c r="C193" s="7" t="s">
        <v>1422</v>
      </c>
      <c r="D193" s="7" t="s">
        <v>1423</v>
      </c>
      <c r="E193" s="12" t="s">
        <v>1424</v>
      </c>
      <c r="F193" s="3" t="s">
        <v>716</v>
      </c>
      <c r="G193" s="3" t="s">
        <v>622</v>
      </c>
      <c r="H193" s="3" t="s">
        <v>746</v>
      </c>
      <c r="I193" s="10" t="n">
        <v>1</v>
      </c>
      <c r="J193" s="10" t="n">
        <v>1</v>
      </c>
      <c r="K193" s="3" t="s">
        <v>624</v>
      </c>
      <c r="L193" s="3" t="s">
        <v>1425</v>
      </c>
    </row>
    <row r="194" customFormat="false" ht="23.85" hidden="false" customHeight="false" outlineLevel="0" collapsed="false">
      <c r="A194" s="7" t="s">
        <v>1426</v>
      </c>
      <c r="B194" s="7" t="s">
        <v>468</v>
      </c>
      <c r="C194" s="7" t="s">
        <v>1427</v>
      </c>
      <c r="D194" s="7" t="s">
        <v>714</v>
      </c>
      <c r="E194" s="12" t="s">
        <v>1428</v>
      </c>
      <c r="F194" s="3" t="s">
        <v>716</v>
      </c>
      <c r="G194" s="3" t="s">
        <v>1429</v>
      </c>
      <c r="H194" s="3" t="s">
        <v>765</v>
      </c>
      <c r="I194" s="10" t="n">
        <v>1</v>
      </c>
      <c r="J194" s="10" t="n">
        <v>2</v>
      </c>
      <c r="K194" s="3" t="s">
        <v>624</v>
      </c>
      <c r="L194" s="3" t="s">
        <v>1430</v>
      </c>
    </row>
    <row r="195" customFormat="false" ht="15" hidden="false" customHeight="false" outlineLevel="0" collapsed="false">
      <c r="A195" s="7" t="s">
        <v>1431</v>
      </c>
      <c r="B195" s="7" t="s">
        <v>468</v>
      </c>
      <c r="C195" s="7" t="s">
        <v>1432</v>
      </c>
      <c r="D195" s="7" t="s">
        <v>901</v>
      </c>
      <c r="E195" s="12" t="s">
        <v>1433</v>
      </c>
      <c r="F195" s="3" t="s">
        <v>638</v>
      </c>
      <c r="G195" s="3" t="s">
        <v>622</v>
      </c>
      <c r="H195" s="3" t="s">
        <v>639</v>
      </c>
      <c r="I195" s="10" t="n">
        <v>1</v>
      </c>
      <c r="J195" s="10" t="n">
        <v>3</v>
      </c>
      <c r="K195" s="3" t="s">
        <v>624</v>
      </c>
      <c r="L195" s="3" t="s">
        <v>1434</v>
      </c>
    </row>
    <row r="196" customFormat="false" ht="23.85" hidden="false" customHeight="false" outlineLevel="0" collapsed="false">
      <c r="A196" s="3" t="s">
        <v>1435</v>
      </c>
      <c r="B196" s="3" t="s">
        <v>468</v>
      </c>
      <c r="C196" s="3" t="s">
        <v>1436</v>
      </c>
      <c r="D196" s="3" t="s">
        <v>901</v>
      </c>
      <c r="E196" s="12" t="s">
        <v>1437</v>
      </c>
      <c r="F196" s="3" t="s">
        <v>638</v>
      </c>
      <c r="G196" s="3" t="s">
        <v>622</v>
      </c>
      <c r="H196" s="3" t="s">
        <v>639</v>
      </c>
      <c r="I196" s="10" t="n">
        <v>1</v>
      </c>
      <c r="J196" s="10"/>
      <c r="K196" s="3" t="s">
        <v>624</v>
      </c>
      <c r="L196" s="3" t="s">
        <v>1438</v>
      </c>
    </row>
    <row r="197" customFormat="false" ht="23.85" hidden="false" customHeight="false" outlineLevel="0" collapsed="false">
      <c r="A197" s="3" t="s">
        <v>1439</v>
      </c>
      <c r="B197" s="3" t="s">
        <v>468</v>
      </c>
      <c r="C197" s="3" t="s">
        <v>1440</v>
      </c>
      <c r="D197" s="3" t="s">
        <v>636</v>
      </c>
      <c r="E197" s="3" t="s">
        <v>1441</v>
      </c>
      <c r="F197" s="3" t="s">
        <v>1442</v>
      </c>
      <c r="G197" s="3" t="s">
        <v>1443</v>
      </c>
      <c r="H197" s="3" t="s">
        <v>765</v>
      </c>
      <c r="I197" s="10" t="n">
        <v>1</v>
      </c>
      <c r="J197" s="10"/>
      <c r="K197" s="3" t="s">
        <v>1444</v>
      </c>
      <c r="L197" s="3" t="s">
        <v>1445</v>
      </c>
    </row>
    <row r="198" customFormat="false" ht="15" hidden="false" customHeight="false" outlineLevel="0" collapsed="false">
      <c r="A198" s="3" t="s">
        <v>1446</v>
      </c>
      <c r="B198" s="3" t="s">
        <v>468</v>
      </c>
      <c r="C198" s="3" t="s">
        <v>1447</v>
      </c>
      <c r="D198" s="3" t="s">
        <v>901</v>
      </c>
      <c r="E198" s="12" t="s">
        <v>1448</v>
      </c>
      <c r="F198" s="3" t="s">
        <v>638</v>
      </c>
      <c r="G198" s="3" t="s">
        <v>622</v>
      </c>
      <c r="H198" s="3" t="s">
        <v>639</v>
      </c>
      <c r="I198" s="10" t="n">
        <v>2</v>
      </c>
      <c r="J198" s="10"/>
      <c r="K198" s="3" t="s">
        <v>624</v>
      </c>
      <c r="L198" s="3" t="s">
        <v>1449</v>
      </c>
    </row>
    <row r="199" customFormat="false" ht="23.85" hidden="false" customHeight="false" outlineLevel="0" collapsed="false">
      <c r="A199" s="3" t="s">
        <v>1450</v>
      </c>
      <c r="B199" s="3" t="s">
        <v>468</v>
      </c>
      <c r="C199" s="3" t="s">
        <v>1451</v>
      </c>
      <c r="D199" s="3" t="s">
        <v>1452</v>
      </c>
      <c r="E199" s="12" t="s">
        <v>1453</v>
      </c>
      <c r="F199" s="3" t="s">
        <v>638</v>
      </c>
      <c r="G199" s="3" t="s">
        <v>622</v>
      </c>
      <c r="H199" s="3" t="s">
        <v>639</v>
      </c>
      <c r="I199" s="10" t="n">
        <v>2</v>
      </c>
      <c r="J199" s="10"/>
      <c r="K199" s="3" t="s">
        <v>624</v>
      </c>
      <c r="L199" s="3" t="s">
        <v>1454</v>
      </c>
    </row>
    <row r="200" customFormat="false" ht="15" hidden="false" customHeight="false" outlineLevel="0" collapsed="false">
      <c r="A200" s="3" t="s">
        <v>1455</v>
      </c>
      <c r="B200" s="3" t="s">
        <v>468</v>
      </c>
      <c r="C200" s="3" t="s">
        <v>1456</v>
      </c>
      <c r="D200" s="3" t="s">
        <v>1457</v>
      </c>
      <c r="E200" s="12" t="s">
        <v>1458</v>
      </c>
      <c r="F200" s="3" t="s">
        <v>716</v>
      </c>
      <c r="G200" s="3" t="s">
        <v>622</v>
      </c>
      <c r="H200" s="3" t="s">
        <v>746</v>
      </c>
      <c r="I200" s="10" t="n">
        <v>2</v>
      </c>
      <c r="J200" s="10"/>
      <c r="K200" s="3" t="s">
        <v>624</v>
      </c>
      <c r="L200" s="3" t="s">
        <v>1459</v>
      </c>
    </row>
    <row r="201" customFormat="false" ht="23.85" hidden="false" customHeight="false" outlineLevel="0" collapsed="false">
      <c r="A201" s="3" t="s">
        <v>1460</v>
      </c>
      <c r="B201" s="3" t="s">
        <v>468</v>
      </c>
      <c r="C201" s="3" t="s">
        <v>1461</v>
      </c>
      <c r="D201" s="3" t="s">
        <v>628</v>
      </c>
      <c r="E201" s="12" t="s">
        <v>1462</v>
      </c>
      <c r="F201" s="3" t="s">
        <v>638</v>
      </c>
      <c r="G201" s="3" t="s">
        <v>1463</v>
      </c>
      <c r="H201" s="3" t="s">
        <v>639</v>
      </c>
      <c r="I201" s="10" t="n">
        <v>2</v>
      </c>
      <c r="J201" s="10"/>
      <c r="K201" s="3" t="s">
        <v>624</v>
      </c>
      <c r="L201" s="3" t="s">
        <v>1464</v>
      </c>
    </row>
    <row r="202" customFormat="false" ht="23.85" hidden="false" customHeight="false" outlineLevel="0" collapsed="false">
      <c r="A202" s="3" t="s">
        <v>1465</v>
      </c>
      <c r="B202" s="3" t="s">
        <v>468</v>
      </c>
      <c r="C202" s="3" t="s">
        <v>1466</v>
      </c>
      <c r="D202" s="3" t="s">
        <v>1467</v>
      </c>
      <c r="E202" s="12" t="s">
        <v>1468</v>
      </c>
      <c r="F202" s="3" t="s">
        <v>638</v>
      </c>
      <c r="G202" s="3" t="s">
        <v>1463</v>
      </c>
      <c r="H202" s="3" t="s">
        <v>639</v>
      </c>
      <c r="I202" s="10" t="n">
        <v>2</v>
      </c>
      <c r="J202" s="10"/>
      <c r="K202" s="3" t="s">
        <v>624</v>
      </c>
      <c r="L202" s="3" t="s">
        <v>1469</v>
      </c>
    </row>
    <row r="203" customFormat="false" ht="23.85" hidden="false" customHeight="false" outlineLevel="0" collapsed="false">
      <c r="A203" s="3" t="s">
        <v>1470</v>
      </c>
      <c r="B203" s="3" t="s">
        <v>468</v>
      </c>
      <c r="C203" s="3" t="s">
        <v>1471</v>
      </c>
      <c r="D203" s="3" t="s">
        <v>1472</v>
      </c>
      <c r="E203" s="12" t="s">
        <v>1473</v>
      </c>
      <c r="F203" s="3" t="s">
        <v>716</v>
      </c>
      <c r="G203" s="3" t="s">
        <v>622</v>
      </c>
      <c r="H203" s="3" t="s">
        <v>746</v>
      </c>
      <c r="I203" s="10" t="n">
        <v>3</v>
      </c>
      <c r="J203" s="10"/>
      <c r="K203" s="3" t="s">
        <v>624</v>
      </c>
      <c r="L203" s="3" t="s">
        <v>1474</v>
      </c>
    </row>
    <row r="204" customFormat="false" ht="23.85" hidden="false" customHeight="false" outlineLevel="0" collapsed="false">
      <c r="A204" s="7" t="s">
        <v>1475</v>
      </c>
      <c r="B204" s="7" t="s">
        <v>473</v>
      </c>
      <c r="C204" s="7" t="s">
        <v>1476</v>
      </c>
      <c r="D204" s="7" t="s">
        <v>1066</v>
      </c>
      <c r="E204" s="12" t="s">
        <v>1477</v>
      </c>
      <c r="F204" s="3" t="s">
        <v>649</v>
      </c>
      <c r="G204" s="3" t="s">
        <v>622</v>
      </c>
      <c r="H204" s="3" t="s">
        <v>650</v>
      </c>
      <c r="I204" s="10" t="n">
        <v>1</v>
      </c>
      <c r="J204" s="10" t="n">
        <v>1</v>
      </c>
      <c r="K204" s="3" t="s">
        <v>624</v>
      </c>
      <c r="L204" s="3" t="s">
        <v>1478</v>
      </c>
    </row>
    <row r="205" customFormat="false" ht="23.85" hidden="false" customHeight="false" outlineLevel="0" collapsed="false">
      <c r="A205" s="7" t="s">
        <v>1479</v>
      </c>
      <c r="B205" s="7" t="s">
        <v>473</v>
      </c>
      <c r="C205" s="7" t="s">
        <v>1480</v>
      </c>
      <c r="D205" s="7" t="s">
        <v>628</v>
      </c>
      <c r="E205" s="12" t="s">
        <v>1481</v>
      </c>
      <c r="F205" s="3" t="s">
        <v>630</v>
      </c>
      <c r="G205" s="3" t="s">
        <v>622</v>
      </c>
      <c r="H205" s="3" t="s">
        <v>1366</v>
      </c>
      <c r="I205" s="10" t="n">
        <v>1</v>
      </c>
      <c r="J205" s="10" t="n">
        <v>2</v>
      </c>
      <c r="K205" s="3" t="s">
        <v>624</v>
      </c>
      <c r="L205" s="3" t="s">
        <v>1482</v>
      </c>
    </row>
    <row r="206" customFormat="false" ht="23.85" hidden="false" customHeight="false" outlineLevel="0" collapsed="false">
      <c r="A206" s="7" t="s">
        <v>1483</v>
      </c>
      <c r="B206" s="7" t="s">
        <v>473</v>
      </c>
      <c r="C206" s="7" t="s">
        <v>1484</v>
      </c>
      <c r="D206" s="7" t="s">
        <v>636</v>
      </c>
      <c r="E206" s="12" t="s">
        <v>1485</v>
      </c>
      <c r="F206" s="3" t="s">
        <v>638</v>
      </c>
      <c r="G206" s="3" t="s">
        <v>622</v>
      </c>
      <c r="H206" s="3" t="s">
        <v>639</v>
      </c>
      <c r="I206" s="10" t="n">
        <v>2</v>
      </c>
      <c r="J206" s="10" t="n">
        <v>3</v>
      </c>
      <c r="K206" s="3" t="s">
        <v>624</v>
      </c>
      <c r="L206" s="3" t="s">
        <v>1486</v>
      </c>
    </row>
    <row r="207" customFormat="false" ht="23.85" hidden="false" customHeight="false" outlineLevel="0" collapsed="false">
      <c r="A207" s="7" t="s">
        <v>1487</v>
      </c>
      <c r="B207" s="7" t="s">
        <v>474</v>
      </c>
      <c r="C207" s="7" t="s">
        <v>1488</v>
      </c>
      <c r="D207" s="7" t="s">
        <v>636</v>
      </c>
      <c r="E207" s="12" t="s">
        <v>1489</v>
      </c>
      <c r="F207" s="3" t="s">
        <v>638</v>
      </c>
      <c r="G207" s="3" t="s">
        <v>622</v>
      </c>
      <c r="H207" s="3" t="s">
        <v>639</v>
      </c>
      <c r="I207" s="10" t="n">
        <v>1</v>
      </c>
      <c r="J207" s="10" t="n">
        <v>1</v>
      </c>
      <c r="K207" s="3" t="s">
        <v>624</v>
      </c>
      <c r="L207" s="3" t="s">
        <v>1490</v>
      </c>
    </row>
    <row r="208" customFormat="false" ht="23.85" hidden="false" customHeight="false" outlineLevel="0" collapsed="false">
      <c r="A208" s="7" t="s">
        <v>1491</v>
      </c>
      <c r="B208" s="7" t="s">
        <v>474</v>
      </c>
      <c r="C208" s="7" t="s">
        <v>1492</v>
      </c>
      <c r="D208" s="7" t="s">
        <v>647</v>
      </c>
      <c r="E208" s="12" t="s">
        <v>1493</v>
      </c>
      <c r="F208" s="3" t="s">
        <v>621</v>
      </c>
      <c r="G208" s="3" t="s">
        <v>622</v>
      </c>
      <c r="H208" s="3" t="s">
        <v>650</v>
      </c>
      <c r="I208" s="10" t="n">
        <v>2</v>
      </c>
      <c r="J208" s="10" t="n">
        <v>2</v>
      </c>
      <c r="K208" s="3" t="s">
        <v>624</v>
      </c>
      <c r="L208" s="3" t="s">
        <v>1494</v>
      </c>
    </row>
    <row r="209" customFormat="false" ht="23.85" hidden="false" customHeight="false" outlineLevel="0" collapsed="false">
      <c r="A209" s="7" t="s">
        <v>1495</v>
      </c>
      <c r="B209" s="7" t="s">
        <v>475</v>
      </c>
      <c r="C209" s="7" t="s">
        <v>1496</v>
      </c>
      <c r="D209" s="7" t="s">
        <v>619</v>
      </c>
      <c r="E209" s="12" t="s">
        <v>1497</v>
      </c>
      <c r="F209" s="3" t="s">
        <v>621</v>
      </c>
      <c r="G209" s="3" t="s">
        <v>622</v>
      </c>
      <c r="H209" s="3" t="s">
        <v>623</v>
      </c>
      <c r="I209" s="10" t="n">
        <v>1</v>
      </c>
      <c r="J209" s="10" t="n">
        <v>1</v>
      </c>
      <c r="K209" s="3" t="s">
        <v>624</v>
      </c>
      <c r="L209" s="3" t="s">
        <v>1498</v>
      </c>
    </row>
    <row r="210" customFormat="false" ht="23.85" hidden="false" customHeight="false" outlineLevel="0" collapsed="false">
      <c r="A210" s="7" t="s">
        <v>1499</v>
      </c>
      <c r="B210" s="7" t="s">
        <v>475</v>
      </c>
      <c r="C210" s="7" t="s">
        <v>1500</v>
      </c>
      <c r="D210" s="7" t="s">
        <v>628</v>
      </c>
      <c r="E210" s="12" t="s">
        <v>1501</v>
      </c>
      <c r="F210" s="3" t="s">
        <v>630</v>
      </c>
      <c r="G210" s="3" t="s">
        <v>622</v>
      </c>
      <c r="H210" s="3" t="s">
        <v>631</v>
      </c>
      <c r="I210" s="10" t="n">
        <v>2</v>
      </c>
      <c r="J210" s="10" t="n">
        <v>2</v>
      </c>
      <c r="K210" s="3" t="s">
        <v>624</v>
      </c>
      <c r="L210" s="3" t="s">
        <v>1502</v>
      </c>
    </row>
    <row r="211" customFormat="false" ht="23.85" hidden="false" customHeight="false" outlineLevel="0" collapsed="false">
      <c r="A211" s="7" t="s">
        <v>1503</v>
      </c>
      <c r="B211" s="7" t="s">
        <v>477</v>
      </c>
      <c r="C211" s="7" t="s">
        <v>1504</v>
      </c>
      <c r="D211" s="7" t="s">
        <v>628</v>
      </c>
      <c r="E211" s="12" t="s">
        <v>1505</v>
      </c>
      <c r="F211" s="3" t="s">
        <v>630</v>
      </c>
      <c r="G211" s="3" t="s">
        <v>622</v>
      </c>
      <c r="H211" s="3" t="s">
        <v>631</v>
      </c>
      <c r="I211" s="10" t="n">
        <v>1</v>
      </c>
      <c r="J211" s="10" t="n">
        <v>1</v>
      </c>
      <c r="K211" s="3" t="s">
        <v>624</v>
      </c>
      <c r="L211" s="3" t="s">
        <v>1506</v>
      </c>
    </row>
    <row r="212" customFormat="false" ht="23.85" hidden="false" customHeight="false" outlineLevel="0" collapsed="false">
      <c r="A212" s="7" t="s">
        <v>1507</v>
      </c>
      <c r="B212" s="7" t="s">
        <v>477</v>
      </c>
      <c r="C212" s="7" t="s">
        <v>1508</v>
      </c>
      <c r="D212" s="7" t="s">
        <v>714</v>
      </c>
      <c r="E212" s="12" t="s">
        <v>1509</v>
      </c>
      <c r="F212" s="3" t="s">
        <v>716</v>
      </c>
      <c r="G212" s="3" t="s">
        <v>622</v>
      </c>
      <c r="H212" s="3" t="s">
        <v>717</v>
      </c>
      <c r="I212" s="10" t="n">
        <v>1</v>
      </c>
      <c r="J212" s="10" t="n">
        <v>2</v>
      </c>
      <c r="K212" s="3" t="s">
        <v>624</v>
      </c>
      <c r="L212" s="3" t="s">
        <v>1510</v>
      </c>
    </row>
    <row r="213" customFormat="false" ht="23.85" hidden="false" customHeight="false" outlineLevel="0" collapsed="false">
      <c r="A213" s="7" t="s">
        <v>1511</v>
      </c>
      <c r="B213" s="7" t="s">
        <v>477</v>
      </c>
      <c r="C213" s="7" t="s">
        <v>1512</v>
      </c>
      <c r="D213" s="7" t="s">
        <v>619</v>
      </c>
      <c r="E213" s="12" t="s">
        <v>1513</v>
      </c>
      <c r="F213" s="3" t="s">
        <v>621</v>
      </c>
      <c r="G213" s="3" t="s">
        <v>622</v>
      </c>
      <c r="H213" s="3" t="s">
        <v>623</v>
      </c>
      <c r="I213" s="10" t="n">
        <v>1</v>
      </c>
      <c r="J213" s="10" t="n">
        <v>3</v>
      </c>
      <c r="K213" s="3" t="s">
        <v>624</v>
      </c>
      <c r="L213" s="3" t="s">
        <v>1514</v>
      </c>
    </row>
    <row r="214" customFormat="false" ht="23.85" hidden="false" customHeight="false" outlineLevel="0" collapsed="false">
      <c r="A214" s="3" t="s">
        <v>1515</v>
      </c>
      <c r="B214" s="3" t="s">
        <v>477</v>
      </c>
      <c r="C214" s="3" t="s">
        <v>1516</v>
      </c>
      <c r="D214" s="3" t="s">
        <v>714</v>
      </c>
      <c r="E214" s="12" t="s">
        <v>1517</v>
      </c>
      <c r="F214" s="3" t="s">
        <v>716</v>
      </c>
      <c r="G214" s="3" t="s">
        <v>622</v>
      </c>
      <c r="H214" s="3" t="s">
        <v>717</v>
      </c>
      <c r="I214" s="10" t="n">
        <v>1</v>
      </c>
      <c r="J214" s="10"/>
      <c r="K214" s="3" t="s">
        <v>632</v>
      </c>
      <c r="L214" s="3" t="s">
        <v>1518</v>
      </c>
    </row>
    <row r="215" customFormat="false" ht="15" hidden="false" customHeight="false" outlineLevel="0" collapsed="false">
      <c r="A215" s="3" t="s">
        <v>1519</v>
      </c>
      <c r="B215" s="3" t="s">
        <v>477</v>
      </c>
      <c r="C215" s="3" t="s">
        <v>1520</v>
      </c>
      <c r="D215" s="3" t="s">
        <v>675</v>
      </c>
      <c r="E215" s="12" t="s">
        <v>1521</v>
      </c>
      <c r="F215" s="3" t="s">
        <v>638</v>
      </c>
      <c r="G215" s="3" t="s">
        <v>622</v>
      </c>
      <c r="H215" s="3" t="s">
        <v>685</v>
      </c>
      <c r="I215" s="10" t="n">
        <v>3</v>
      </c>
      <c r="J215" s="10"/>
      <c r="K215" s="3" t="s">
        <v>624</v>
      </c>
      <c r="L215" s="3" t="s">
        <v>1522</v>
      </c>
    </row>
    <row r="216" customFormat="false" ht="23.85" hidden="false" customHeight="false" outlineLevel="0" collapsed="false">
      <c r="A216" s="3" t="s">
        <v>1523</v>
      </c>
      <c r="B216" s="3" t="s">
        <v>477</v>
      </c>
      <c r="C216" s="3" t="s">
        <v>1524</v>
      </c>
      <c r="D216" s="3" t="s">
        <v>845</v>
      </c>
      <c r="E216" s="12" t="s">
        <v>1525</v>
      </c>
      <c r="F216" s="3" t="s">
        <v>621</v>
      </c>
      <c r="G216" s="3" t="s">
        <v>622</v>
      </c>
      <c r="H216" s="3" t="s">
        <v>623</v>
      </c>
      <c r="I216" s="10" t="n">
        <v>3</v>
      </c>
      <c r="J216" s="10"/>
      <c r="K216" s="3" t="s">
        <v>624</v>
      </c>
      <c r="L216" s="3" t="s">
        <v>1526</v>
      </c>
    </row>
    <row r="217" customFormat="false" ht="23.85" hidden="false" customHeight="false" outlineLevel="0" collapsed="false">
      <c r="A217" s="3" t="s">
        <v>1527</v>
      </c>
      <c r="B217" s="3" t="s">
        <v>477</v>
      </c>
      <c r="C217" s="3" t="s">
        <v>1528</v>
      </c>
      <c r="D217" s="3" t="s">
        <v>845</v>
      </c>
      <c r="E217" s="12" t="s">
        <v>1529</v>
      </c>
      <c r="F217" s="3" t="s">
        <v>621</v>
      </c>
      <c r="G217" s="3" t="s">
        <v>622</v>
      </c>
      <c r="H217" s="3" t="s">
        <v>623</v>
      </c>
      <c r="I217" s="10" t="n">
        <v>3</v>
      </c>
      <c r="J217" s="10"/>
      <c r="K217" s="3" t="s">
        <v>624</v>
      </c>
      <c r="L217" s="3" t="s">
        <v>1530</v>
      </c>
    </row>
    <row r="218" customFormat="false" ht="35.05" hidden="false" customHeight="false" outlineLevel="0" collapsed="false">
      <c r="A218" s="7" t="s">
        <v>1531</v>
      </c>
      <c r="B218" s="7" t="s">
        <v>478</v>
      </c>
      <c r="C218" s="7" t="s">
        <v>1532</v>
      </c>
      <c r="D218" s="7" t="s">
        <v>714</v>
      </c>
      <c r="E218" s="12" t="s">
        <v>1533</v>
      </c>
      <c r="F218" s="3" t="s">
        <v>716</v>
      </c>
      <c r="G218" s="3" t="s">
        <v>622</v>
      </c>
      <c r="H218" s="3" t="s">
        <v>717</v>
      </c>
      <c r="I218" s="10" t="n">
        <v>1</v>
      </c>
      <c r="J218" s="10" t="n">
        <v>1</v>
      </c>
      <c r="K218" s="3" t="s">
        <v>755</v>
      </c>
      <c r="L218" s="3" t="s">
        <v>1059</v>
      </c>
    </row>
    <row r="219" customFormat="false" ht="23.85" hidden="false" customHeight="false" outlineLevel="0" collapsed="false">
      <c r="A219" s="7" t="s">
        <v>1534</v>
      </c>
      <c r="B219" s="7" t="s">
        <v>484</v>
      </c>
      <c r="C219" s="7" t="s">
        <v>1535</v>
      </c>
      <c r="D219" s="7" t="s">
        <v>714</v>
      </c>
      <c r="E219" s="12" t="s">
        <v>1536</v>
      </c>
      <c r="F219" s="3" t="s">
        <v>716</v>
      </c>
      <c r="G219" s="3" t="s">
        <v>622</v>
      </c>
      <c r="H219" s="3" t="s">
        <v>746</v>
      </c>
      <c r="I219" s="10" t="n">
        <v>1</v>
      </c>
      <c r="J219" s="10" t="n">
        <v>1</v>
      </c>
      <c r="K219" s="3" t="s">
        <v>624</v>
      </c>
      <c r="L219" s="3" t="s">
        <v>1537</v>
      </c>
    </row>
    <row r="220" customFormat="false" ht="23.85" hidden="false" customHeight="false" outlineLevel="0" collapsed="false">
      <c r="A220" s="7" t="s">
        <v>1538</v>
      </c>
      <c r="B220" s="7" t="s">
        <v>484</v>
      </c>
      <c r="C220" s="7" t="s">
        <v>1539</v>
      </c>
      <c r="D220" s="7" t="s">
        <v>714</v>
      </c>
      <c r="E220" s="12" t="s">
        <v>1540</v>
      </c>
      <c r="F220" s="3" t="s">
        <v>716</v>
      </c>
      <c r="G220" s="3" t="s">
        <v>622</v>
      </c>
      <c r="H220" s="3" t="s">
        <v>717</v>
      </c>
      <c r="I220" s="10" t="n">
        <v>1</v>
      </c>
      <c r="J220" s="10" t="n">
        <v>2</v>
      </c>
      <c r="K220" s="3" t="s">
        <v>624</v>
      </c>
      <c r="L220" s="3" t="s">
        <v>1541</v>
      </c>
    </row>
    <row r="221" customFormat="false" ht="23.85" hidden="false" customHeight="false" outlineLevel="0" collapsed="false">
      <c r="A221" s="7" t="s">
        <v>1542</v>
      </c>
      <c r="B221" s="7" t="s">
        <v>484</v>
      </c>
      <c r="C221" s="7" t="s">
        <v>1543</v>
      </c>
      <c r="D221" s="7" t="s">
        <v>714</v>
      </c>
      <c r="E221" s="12" t="s">
        <v>1544</v>
      </c>
      <c r="F221" s="3" t="s">
        <v>716</v>
      </c>
      <c r="G221" s="3" t="s">
        <v>622</v>
      </c>
      <c r="H221" s="3" t="s">
        <v>746</v>
      </c>
      <c r="I221" s="10" t="n">
        <v>2</v>
      </c>
      <c r="J221" s="10" t="n">
        <v>3</v>
      </c>
      <c r="K221" s="3" t="s">
        <v>624</v>
      </c>
      <c r="L221" s="3" t="s">
        <v>1545</v>
      </c>
    </row>
    <row r="222" customFormat="false" ht="35.05" hidden="false" customHeight="false" outlineLevel="0" collapsed="false">
      <c r="A222" s="7" t="s">
        <v>1546</v>
      </c>
      <c r="B222" s="7" t="s">
        <v>485</v>
      </c>
      <c r="C222" s="7" t="s">
        <v>1547</v>
      </c>
      <c r="D222" s="7" t="s">
        <v>714</v>
      </c>
      <c r="E222" s="12" t="s">
        <v>1548</v>
      </c>
      <c r="F222" s="3" t="s">
        <v>716</v>
      </c>
      <c r="G222" s="3" t="s">
        <v>1549</v>
      </c>
      <c r="H222" s="3" t="s">
        <v>765</v>
      </c>
      <c r="I222" s="10" t="n">
        <v>1</v>
      </c>
      <c r="J222" s="10" t="n">
        <v>1</v>
      </c>
      <c r="K222" s="3" t="s">
        <v>624</v>
      </c>
      <c r="L222" s="3" t="s">
        <v>1550</v>
      </c>
    </row>
    <row r="223" customFormat="false" ht="23.85" hidden="false" customHeight="false" outlineLevel="0" collapsed="false">
      <c r="A223" s="7" t="s">
        <v>1551</v>
      </c>
      <c r="B223" s="7" t="s">
        <v>485</v>
      </c>
      <c r="C223" s="7" t="s">
        <v>1552</v>
      </c>
      <c r="D223" s="7" t="s">
        <v>714</v>
      </c>
      <c r="E223" s="12" t="s">
        <v>1553</v>
      </c>
      <c r="F223" s="3" t="s">
        <v>716</v>
      </c>
      <c r="G223" s="3" t="s">
        <v>622</v>
      </c>
      <c r="H223" s="3" t="s">
        <v>717</v>
      </c>
      <c r="I223" s="10" t="n">
        <v>2</v>
      </c>
      <c r="J223" s="10" t="n">
        <v>2</v>
      </c>
      <c r="K223" s="3" t="s">
        <v>624</v>
      </c>
      <c r="L223" s="3" t="s">
        <v>1554</v>
      </c>
    </row>
    <row r="224" customFormat="false" ht="15" hidden="false" customHeight="false" outlineLevel="0" collapsed="false">
      <c r="A224" s="7" t="s">
        <v>1555</v>
      </c>
      <c r="B224" s="7" t="s">
        <v>486</v>
      </c>
      <c r="C224" s="7" t="s">
        <v>1556</v>
      </c>
      <c r="D224" s="7" t="s">
        <v>619</v>
      </c>
      <c r="E224" s="12" t="s">
        <v>1557</v>
      </c>
      <c r="F224" s="3" t="s">
        <v>621</v>
      </c>
      <c r="G224" s="3" t="s">
        <v>622</v>
      </c>
      <c r="H224" s="3" t="s">
        <v>623</v>
      </c>
      <c r="I224" s="10" t="n">
        <v>1</v>
      </c>
      <c r="J224" s="10" t="n">
        <v>1</v>
      </c>
      <c r="K224" s="3" t="s">
        <v>624</v>
      </c>
      <c r="L224" s="3" t="s">
        <v>1558</v>
      </c>
    </row>
    <row r="225" customFormat="false" ht="15" hidden="false" customHeight="false" outlineLevel="0" collapsed="false">
      <c r="A225" s="7" t="s">
        <v>1559</v>
      </c>
      <c r="B225" s="7" t="s">
        <v>486</v>
      </c>
      <c r="C225" s="7" t="s">
        <v>1560</v>
      </c>
      <c r="D225" s="7" t="s">
        <v>675</v>
      </c>
      <c r="E225" s="12" t="s">
        <v>1561</v>
      </c>
      <c r="F225" s="3" t="s">
        <v>638</v>
      </c>
      <c r="G225" s="3" t="s">
        <v>622</v>
      </c>
      <c r="H225" s="3" t="s">
        <v>685</v>
      </c>
      <c r="I225" s="10" t="n">
        <v>3</v>
      </c>
      <c r="J225" s="10" t="n">
        <v>2</v>
      </c>
      <c r="K225" s="3" t="s">
        <v>624</v>
      </c>
      <c r="L225" s="3" t="s">
        <v>1562</v>
      </c>
    </row>
    <row r="226" customFormat="false" ht="23.85" hidden="false" customHeight="false" outlineLevel="0" collapsed="false">
      <c r="A226" s="7" t="s">
        <v>1563</v>
      </c>
      <c r="B226" s="7" t="s">
        <v>490</v>
      </c>
      <c r="C226" s="7" t="s">
        <v>1564</v>
      </c>
      <c r="D226" s="7" t="s">
        <v>619</v>
      </c>
      <c r="E226" s="12" t="s">
        <v>1565</v>
      </c>
      <c r="F226" s="3" t="s">
        <v>621</v>
      </c>
      <c r="G226" s="3" t="s">
        <v>622</v>
      </c>
      <c r="H226" s="3" t="s">
        <v>623</v>
      </c>
      <c r="I226" s="10" t="n">
        <v>1</v>
      </c>
      <c r="J226" s="10" t="n">
        <v>1</v>
      </c>
      <c r="K226" s="3" t="s">
        <v>632</v>
      </c>
      <c r="L226" s="3" t="s">
        <v>1566</v>
      </c>
    </row>
    <row r="227" customFormat="false" ht="23.85" hidden="false" customHeight="false" outlineLevel="0" collapsed="false">
      <c r="A227" s="7" t="s">
        <v>1567</v>
      </c>
      <c r="B227" s="7" t="s">
        <v>490</v>
      </c>
      <c r="C227" s="7" t="s">
        <v>1568</v>
      </c>
      <c r="D227" s="7" t="s">
        <v>619</v>
      </c>
      <c r="E227" s="12" t="s">
        <v>1569</v>
      </c>
      <c r="F227" s="3" t="s">
        <v>621</v>
      </c>
      <c r="G227" s="3" t="s">
        <v>622</v>
      </c>
      <c r="H227" s="3" t="s">
        <v>623</v>
      </c>
      <c r="I227" s="10" t="n">
        <v>1</v>
      </c>
      <c r="J227" s="10" t="n">
        <v>2</v>
      </c>
      <c r="K227" s="3" t="s">
        <v>624</v>
      </c>
      <c r="L227" s="3" t="s">
        <v>1570</v>
      </c>
    </row>
    <row r="228" customFormat="false" ht="23.85" hidden="false" customHeight="false" outlineLevel="0" collapsed="false">
      <c r="A228" s="7" t="s">
        <v>1571</v>
      </c>
      <c r="B228" s="7" t="s">
        <v>490</v>
      </c>
      <c r="C228" s="7" t="s">
        <v>1572</v>
      </c>
      <c r="D228" s="7" t="s">
        <v>1066</v>
      </c>
      <c r="E228" s="12" t="s">
        <v>1573</v>
      </c>
      <c r="F228" s="3" t="s">
        <v>649</v>
      </c>
      <c r="G228" s="3" t="s">
        <v>622</v>
      </c>
      <c r="H228" s="3" t="s">
        <v>650</v>
      </c>
      <c r="I228" s="10" t="n">
        <v>2</v>
      </c>
      <c r="J228" s="10" t="n">
        <v>3</v>
      </c>
      <c r="K228" s="3" t="s">
        <v>624</v>
      </c>
      <c r="L228" s="3" t="s">
        <v>1574</v>
      </c>
    </row>
    <row r="229" customFormat="false" ht="23.85" hidden="false" customHeight="false" outlineLevel="0" collapsed="false">
      <c r="A229" s="3" t="s">
        <v>1575</v>
      </c>
      <c r="B229" s="3" t="s">
        <v>490</v>
      </c>
      <c r="C229" s="3" t="s">
        <v>1576</v>
      </c>
      <c r="D229" s="3" t="s">
        <v>619</v>
      </c>
      <c r="E229" s="12" t="s">
        <v>1577</v>
      </c>
      <c r="F229" s="3" t="s">
        <v>621</v>
      </c>
      <c r="G229" s="3" t="s">
        <v>622</v>
      </c>
      <c r="H229" s="3" t="s">
        <v>623</v>
      </c>
      <c r="I229" s="10" t="n">
        <v>3</v>
      </c>
      <c r="J229" s="10"/>
      <c r="K229" s="3" t="s">
        <v>624</v>
      </c>
      <c r="L229" s="3" t="s">
        <v>1578</v>
      </c>
    </row>
    <row r="230" customFormat="false" ht="23.85" hidden="false" customHeight="false" outlineLevel="0" collapsed="false">
      <c r="A230" s="7" t="s">
        <v>1579</v>
      </c>
      <c r="B230" s="7" t="s">
        <v>494</v>
      </c>
      <c r="C230" s="7" t="s">
        <v>1580</v>
      </c>
      <c r="D230" s="7" t="s">
        <v>714</v>
      </c>
      <c r="E230" s="12" t="s">
        <v>1581</v>
      </c>
      <c r="F230" s="3" t="s">
        <v>716</v>
      </c>
      <c r="G230" s="3" t="s">
        <v>622</v>
      </c>
      <c r="H230" s="3" t="s">
        <v>717</v>
      </c>
      <c r="I230" s="10" t="n">
        <v>1</v>
      </c>
      <c r="J230" s="10" t="n">
        <v>1</v>
      </c>
      <c r="K230" s="3" t="s">
        <v>624</v>
      </c>
      <c r="L230" s="3" t="s">
        <v>1582</v>
      </c>
    </row>
    <row r="231" customFormat="false" ht="15" hidden="false" customHeight="false" outlineLevel="0" collapsed="false">
      <c r="A231" s="7" t="s">
        <v>1583</v>
      </c>
      <c r="B231" s="7" t="s">
        <v>494</v>
      </c>
      <c r="C231" s="7" t="s">
        <v>1584</v>
      </c>
      <c r="D231" s="7" t="s">
        <v>619</v>
      </c>
      <c r="E231" s="12" t="s">
        <v>1585</v>
      </c>
      <c r="F231" s="3" t="s">
        <v>621</v>
      </c>
      <c r="G231" s="3" t="s">
        <v>622</v>
      </c>
      <c r="H231" s="3" t="s">
        <v>623</v>
      </c>
      <c r="I231" s="10" t="n">
        <v>1</v>
      </c>
      <c r="J231" s="10" t="n">
        <v>2</v>
      </c>
      <c r="K231" s="3" t="s">
        <v>624</v>
      </c>
      <c r="L231" s="3" t="s">
        <v>1586</v>
      </c>
    </row>
    <row r="232" customFormat="false" ht="15" hidden="false" customHeight="false" outlineLevel="0" collapsed="false">
      <c r="A232" s="7" t="s">
        <v>1587</v>
      </c>
      <c r="B232" s="7" t="s">
        <v>494</v>
      </c>
      <c r="C232" s="7" t="s">
        <v>1588</v>
      </c>
      <c r="D232" s="7" t="s">
        <v>901</v>
      </c>
      <c r="E232" s="12" t="s">
        <v>1589</v>
      </c>
      <c r="F232" s="3" t="s">
        <v>638</v>
      </c>
      <c r="G232" s="3" t="s">
        <v>622</v>
      </c>
      <c r="H232" s="3" t="s">
        <v>639</v>
      </c>
      <c r="I232" s="10" t="n">
        <v>2</v>
      </c>
      <c r="J232" s="10" t="n">
        <v>3</v>
      </c>
      <c r="K232" s="3" t="s">
        <v>624</v>
      </c>
      <c r="L232" s="3" t="s">
        <v>1590</v>
      </c>
    </row>
    <row r="233" customFormat="false" ht="35.05" hidden="false" customHeight="false" outlineLevel="0" collapsed="false">
      <c r="A233" s="7" t="s">
        <v>1591</v>
      </c>
      <c r="B233" s="7" t="s">
        <v>496</v>
      </c>
      <c r="C233" s="7" t="s">
        <v>1592</v>
      </c>
      <c r="D233" s="7" t="s">
        <v>714</v>
      </c>
      <c r="E233" s="12" t="s">
        <v>1593</v>
      </c>
      <c r="F233" s="3" t="s">
        <v>716</v>
      </c>
      <c r="G233" s="3" t="s">
        <v>622</v>
      </c>
      <c r="H233" s="3" t="s">
        <v>717</v>
      </c>
      <c r="I233" s="10" t="n">
        <v>1</v>
      </c>
      <c r="J233" s="10" t="n">
        <v>1</v>
      </c>
      <c r="K233" s="3" t="s">
        <v>624</v>
      </c>
      <c r="L233" s="3" t="s">
        <v>1582</v>
      </c>
    </row>
    <row r="234" customFormat="false" ht="15" hidden="false" customHeight="false" outlineLevel="0" collapsed="false">
      <c r="A234" s="7" t="s">
        <v>1594</v>
      </c>
      <c r="B234" s="7" t="s">
        <v>496</v>
      </c>
      <c r="C234" s="7" t="s">
        <v>1595</v>
      </c>
      <c r="D234" s="7" t="s">
        <v>619</v>
      </c>
      <c r="E234" s="12" t="s">
        <v>1596</v>
      </c>
      <c r="F234" s="3" t="s">
        <v>621</v>
      </c>
      <c r="G234" s="3" t="s">
        <v>622</v>
      </c>
      <c r="H234" s="3" t="s">
        <v>623</v>
      </c>
      <c r="I234" s="10" t="n">
        <v>1</v>
      </c>
      <c r="J234" s="10" t="n">
        <v>2</v>
      </c>
      <c r="K234" s="3" t="s">
        <v>624</v>
      </c>
      <c r="L234" s="3" t="s">
        <v>1597</v>
      </c>
    </row>
    <row r="235" customFormat="false" ht="15" hidden="false" customHeight="false" outlineLevel="0" collapsed="false">
      <c r="A235" s="7" t="s">
        <v>1598</v>
      </c>
      <c r="B235" s="7" t="s">
        <v>496</v>
      </c>
      <c r="C235" s="7" t="s">
        <v>1599</v>
      </c>
      <c r="D235" s="7" t="s">
        <v>628</v>
      </c>
      <c r="E235" s="12" t="s">
        <v>1600</v>
      </c>
      <c r="F235" s="3" t="s">
        <v>630</v>
      </c>
      <c r="G235" s="3" t="s">
        <v>622</v>
      </c>
      <c r="H235" s="3" t="s">
        <v>631</v>
      </c>
      <c r="I235" s="10" t="n">
        <v>2</v>
      </c>
      <c r="J235" s="10" t="n">
        <v>3</v>
      </c>
      <c r="K235" s="3" t="s">
        <v>624</v>
      </c>
      <c r="L235" s="3" t="s">
        <v>1601</v>
      </c>
    </row>
    <row r="236" customFormat="false" ht="23.85" hidden="false" customHeight="false" outlineLevel="0" collapsed="false">
      <c r="A236" s="7" t="s">
        <v>1602</v>
      </c>
      <c r="B236" s="7" t="s">
        <v>157</v>
      </c>
      <c r="C236" s="7" t="s">
        <v>1603</v>
      </c>
      <c r="D236" s="7" t="s">
        <v>619</v>
      </c>
      <c r="E236" s="12" t="s">
        <v>1604</v>
      </c>
      <c r="F236" s="3" t="s">
        <v>621</v>
      </c>
      <c r="G236" s="3" t="s">
        <v>622</v>
      </c>
      <c r="H236" s="3" t="s">
        <v>623</v>
      </c>
      <c r="I236" s="10" t="n">
        <v>1</v>
      </c>
      <c r="J236" s="10" t="n">
        <v>1</v>
      </c>
      <c r="K236" s="3" t="s">
        <v>624</v>
      </c>
      <c r="L236" s="3" t="s">
        <v>1605</v>
      </c>
    </row>
    <row r="237" customFormat="false" ht="23.85" hidden="false" customHeight="false" outlineLevel="0" collapsed="false">
      <c r="A237" s="7" t="s">
        <v>1606</v>
      </c>
      <c r="B237" s="7" t="s">
        <v>157</v>
      </c>
      <c r="C237" s="7" t="s">
        <v>1607</v>
      </c>
      <c r="D237" s="7" t="s">
        <v>714</v>
      </c>
      <c r="E237" s="12" t="s">
        <v>1608</v>
      </c>
      <c r="F237" s="3" t="s">
        <v>716</v>
      </c>
      <c r="G237" s="3" t="s">
        <v>622</v>
      </c>
      <c r="H237" s="3" t="s">
        <v>717</v>
      </c>
      <c r="I237" s="10" t="n">
        <v>1</v>
      </c>
      <c r="J237" s="10" t="n">
        <v>2</v>
      </c>
      <c r="K237" s="3" t="s">
        <v>624</v>
      </c>
      <c r="L237" s="3" t="s">
        <v>1609</v>
      </c>
    </row>
    <row r="238" customFormat="false" ht="23.85" hidden="false" customHeight="false" outlineLevel="0" collapsed="false">
      <c r="A238" s="7" t="s">
        <v>1610</v>
      </c>
      <c r="B238" s="7" t="s">
        <v>500</v>
      </c>
      <c r="C238" s="7" t="s">
        <v>1611</v>
      </c>
      <c r="D238" s="7" t="s">
        <v>619</v>
      </c>
      <c r="E238" s="12" t="s">
        <v>1612</v>
      </c>
      <c r="F238" s="3" t="s">
        <v>621</v>
      </c>
      <c r="G238" s="3" t="s">
        <v>622</v>
      </c>
      <c r="H238" s="3" t="s">
        <v>623</v>
      </c>
      <c r="I238" s="10" t="n">
        <v>1</v>
      </c>
      <c r="J238" s="10" t="n">
        <v>1</v>
      </c>
      <c r="K238" s="3" t="s">
        <v>624</v>
      </c>
      <c r="L238" s="3" t="s">
        <v>1613</v>
      </c>
    </row>
    <row r="239" customFormat="false" ht="23.85" hidden="false" customHeight="false" outlineLevel="0" collapsed="false">
      <c r="A239" s="7" t="s">
        <v>1614</v>
      </c>
      <c r="B239" s="7" t="s">
        <v>500</v>
      </c>
      <c r="C239" s="7" t="s">
        <v>1615</v>
      </c>
      <c r="D239" s="7" t="s">
        <v>714</v>
      </c>
      <c r="E239" s="12" t="s">
        <v>1616</v>
      </c>
      <c r="F239" s="3" t="s">
        <v>716</v>
      </c>
      <c r="G239" s="3" t="s">
        <v>1189</v>
      </c>
      <c r="H239" s="3" t="s">
        <v>765</v>
      </c>
      <c r="I239" s="10" t="n">
        <v>1</v>
      </c>
      <c r="J239" s="10" t="n">
        <v>2</v>
      </c>
      <c r="K239" s="3" t="s">
        <v>624</v>
      </c>
      <c r="L239" s="3" t="s">
        <v>1617</v>
      </c>
    </row>
    <row r="240" customFormat="false" ht="23.85" hidden="false" customHeight="false" outlineLevel="0" collapsed="false">
      <c r="A240" s="7" t="s">
        <v>1618</v>
      </c>
      <c r="B240" s="7" t="s">
        <v>502</v>
      </c>
      <c r="C240" s="7" t="s">
        <v>1619</v>
      </c>
      <c r="D240" s="7" t="s">
        <v>619</v>
      </c>
      <c r="E240" s="12" t="s">
        <v>1620</v>
      </c>
      <c r="F240" s="3" t="s">
        <v>621</v>
      </c>
      <c r="G240" s="3" t="s">
        <v>622</v>
      </c>
      <c r="H240" s="3" t="s">
        <v>623</v>
      </c>
      <c r="I240" s="10" t="n">
        <v>1</v>
      </c>
      <c r="J240" s="10" t="n">
        <v>1</v>
      </c>
      <c r="K240" s="3" t="s">
        <v>632</v>
      </c>
      <c r="L240" s="3" t="s">
        <v>1621</v>
      </c>
    </row>
    <row r="241" customFormat="false" ht="23.85" hidden="false" customHeight="false" outlineLevel="0" collapsed="false">
      <c r="A241" s="7" t="s">
        <v>1622</v>
      </c>
      <c r="B241" s="7" t="s">
        <v>502</v>
      </c>
      <c r="C241" s="7" t="s">
        <v>1623</v>
      </c>
      <c r="D241" s="7" t="s">
        <v>628</v>
      </c>
      <c r="E241" s="12" t="s">
        <v>1624</v>
      </c>
      <c r="F241" s="3" t="s">
        <v>630</v>
      </c>
      <c r="G241" s="3" t="s">
        <v>622</v>
      </c>
      <c r="H241" s="3" t="s">
        <v>631</v>
      </c>
      <c r="I241" s="10" t="n">
        <v>1</v>
      </c>
      <c r="J241" s="10" t="n">
        <v>2</v>
      </c>
      <c r="K241" s="3" t="s">
        <v>632</v>
      </c>
      <c r="L241" s="3" t="s">
        <v>1625</v>
      </c>
    </row>
    <row r="242" customFormat="false" ht="15" hidden="false" customHeight="false" outlineLevel="0" collapsed="false">
      <c r="A242" s="7" t="s">
        <v>1626</v>
      </c>
      <c r="B242" s="7" t="s">
        <v>503</v>
      </c>
      <c r="C242" s="7" t="s">
        <v>1627</v>
      </c>
      <c r="D242" s="7" t="s">
        <v>619</v>
      </c>
      <c r="E242" s="12" t="s">
        <v>1628</v>
      </c>
      <c r="F242" s="3" t="s">
        <v>621</v>
      </c>
      <c r="G242" s="3" t="s">
        <v>622</v>
      </c>
      <c r="H242" s="3" t="s">
        <v>623</v>
      </c>
      <c r="I242" s="10" t="n">
        <v>1</v>
      </c>
      <c r="J242" s="10" t="n">
        <v>1</v>
      </c>
      <c r="K242" s="3" t="s">
        <v>624</v>
      </c>
      <c r="L242" s="3" t="s">
        <v>1629</v>
      </c>
    </row>
    <row r="243" customFormat="false" ht="23.85" hidden="false" customHeight="false" outlineLevel="0" collapsed="false">
      <c r="A243" s="7" t="s">
        <v>1630</v>
      </c>
      <c r="B243" s="7" t="s">
        <v>503</v>
      </c>
      <c r="C243" s="7" t="s">
        <v>1631</v>
      </c>
      <c r="D243" s="7" t="s">
        <v>714</v>
      </c>
      <c r="E243" s="12" t="s">
        <v>1632</v>
      </c>
      <c r="F243" s="3" t="s">
        <v>716</v>
      </c>
      <c r="G243" s="3" t="s">
        <v>622</v>
      </c>
      <c r="H243" s="3" t="s">
        <v>717</v>
      </c>
      <c r="I243" s="10" t="n">
        <v>1</v>
      </c>
      <c r="J243" s="10" t="n">
        <v>2</v>
      </c>
      <c r="K243" s="3" t="s">
        <v>624</v>
      </c>
      <c r="L243" s="3" t="s">
        <v>1633</v>
      </c>
    </row>
    <row r="244" customFormat="false" ht="15" hidden="false" customHeight="false" outlineLevel="0" collapsed="false">
      <c r="A244" s="7" t="s">
        <v>1634</v>
      </c>
      <c r="B244" s="7" t="s">
        <v>504</v>
      </c>
      <c r="C244" s="7" t="s">
        <v>1635</v>
      </c>
      <c r="D244" s="7" t="s">
        <v>619</v>
      </c>
      <c r="E244" s="12" t="s">
        <v>1636</v>
      </c>
      <c r="F244" s="3" t="s">
        <v>621</v>
      </c>
      <c r="G244" s="3" t="s">
        <v>622</v>
      </c>
      <c r="H244" s="3" t="s">
        <v>623</v>
      </c>
      <c r="I244" s="10" t="n">
        <v>1</v>
      </c>
      <c r="J244" s="10" t="n">
        <v>1</v>
      </c>
      <c r="K244" s="3" t="s">
        <v>624</v>
      </c>
      <c r="L244" s="3" t="s">
        <v>1637</v>
      </c>
    </row>
    <row r="245" customFormat="false" ht="23.85" hidden="false" customHeight="false" outlineLevel="0" collapsed="false">
      <c r="A245" s="7" t="s">
        <v>1638</v>
      </c>
      <c r="B245" s="7" t="s">
        <v>504</v>
      </c>
      <c r="C245" s="7" t="s">
        <v>1639</v>
      </c>
      <c r="D245" s="7" t="s">
        <v>714</v>
      </c>
      <c r="E245" s="12" t="s">
        <v>1640</v>
      </c>
      <c r="F245" s="3" t="s">
        <v>716</v>
      </c>
      <c r="G245" s="3" t="s">
        <v>622</v>
      </c>
      <c r="H245" s="3" t="s">
        <v>717</v>
      </c>
      <c r="I245" s="10" t="n">
        <v>1</v>
      </c>
      <c r="J245" s="10" t="n">
        <v>2</v>
      </c>
      <c r="K245" s="3" t="s">
        <v>624</v>
      </c>
      <c r="L245" s="3" t="s">
        <v>1641</v>
      </c>
    </row>
    <row r="246" customFormat="false" ht="23.85" hidden="false" customHeight="false" outlineLevel="0" collapsed="false">
      <c r="A246" s="7" t="s">
        <v>1642</v>
      </c>
      <c r="B246" s="7" t="s">
        <v>504</v>
      </c>
      <c r="C246" s="7" t="s">
        <v>1643</v>
      </c>
      <c r="D246" s="7" t="s">
        <v>714</v>
      </c>
      <c r="E246" s="12" t="s">
        <v>1644</v>
      </c>
      <c r="F246" s="3" t="s">
        <v>716</v>
      </c>
      <c r="G246" s="3" t="s">
        <v>622</v>
      </c>
      <c r="H246" s="3" t="s">
        <v>717</v>
      </c>
      <c r="I246" s="10" t="n">
        <v>1</v>
      </c>
      <c r="J246" s="10" t="n">
        <v>3</v>
      </c>
      <c r="K246" s="3" t="s">
        <v>624</v>
      </c>
      <c r="L246" s="3" t="s">
        <v>1645</v>
      </c>
    </row>
    <row r="247" customFormat="false" ht="23.85" hidden="false" customHeight="false" outlineLevel="0" collapsed="false">
      <c r="A247" s="7" t="s">
        <v>1646</v>
      </c>
      <c r="B247" s="7" t="s">
        <v>505</v>
      </c>
      <c r="C247" s="7" t="s">
        <v>1647</v>
      </c>
      <c r="D247" s="7" t="s">
        <v>714</v>
      </c>
      <c r="E247" s="12" t="s">
        <v>1648</v>
      </c>
      <c r="F247" s="3" t="s">
        <v>716</v>
      </c>
      <c r="G247" s="3" t="s">
        <v>622</v>
      </c>
      <c r="H247" s="3" t="s">
        <v>717</v>
      </c>
      <c r="I247" s="10" t="n">
        <v>1</v>
      </c>
      <c r="J247" s="10" t="n">
        <v>1</v>
      </c>
      <c r="K247" s="3" t="s">
        <v>624</v>
      </c>
      <c r="L247" s="3" t="s">
        <v>1649</v>
      </c>
    </row>
    <row r="248" customFormat="false" ht="15" hidden="false" customHeight="false" outlineLevel="0" collapsed="false">
      <c r="A248" s="7" t="s">
        <v>1650</v>
      </c>
      <c r="B248" s="7" t="s">
        <v>505</v>
      </c>
      <c r="C248" s="7" t="s">
        <v>1651</v>
      </c>
      <c r="D248" s="7" t="s">
        <v>619</v>
      </c>
      <c r="E248" s="12" t="s">
        <v>1652</v>
      </c>
      <c r="F248" s="3" t="s">
        <v>621</v>
      </c>
      <c r="G248" s="3" t="s">
        <v>622</v>
      </c>
      <c r="H248" s="3" t="s">
        <v>623</v>
      </c>
      <c r="I248" s="10" t="n">
        <v>1</v>
      </c>
      <c r="J248" s="10" t="n">
        <v>2</v>
      </c>
      <c r="K248" s="3" t="s">
        <v>624</v>
      </c>
      <c r="L248" s="3" t="s">
        <v>1653</v>
      </c>
    </row>
    <row r="249" customFormat="false" ht="15" hidden="false" customHeight="false" outlineLevel="0" collapsed="false">
      <c r="A249" s="7" t="s">
        <v>1654</v>
      </c>
      <c r="B249" s="7" t="s">
        <v>505</v>
      </c>
      <c r="C249" s="7" t="s">
        <v>1655</v>
      </c>
      <c r="D249" s="7" t="s">
        <v>901</v>
      </c>
      <c r="E249" s="12" t="s">
        <v>1656</v>
      </c>
      <c r="F249" s="3" t="s">
        <v>638</v>
      </c>
      <c r="G249" s="3" t="s">
        <v>622</v>
      </c>
      <c r="H249" s="3" t="s">
        <v>639</v>
      </c>
      <c r="I249" s="10" t="n">
        <v>3</v>
      </c>
      <c r="J249" s="10" t="n">
        <v>3</v>
      </c>
      <c r="K249" s="3" t="s">
        <v>624</v>
      </c>
      <c r="L249" s="3" t="s">
        <v>1657</v>
      </c>
    </row>
    <row r="250" customFormat="false" ht="35.05" hidden="false" customHeight="false" outlineLevel="0" collapsed="false">
      <c r="A250" s="7" t="s">
        <v>1658</v>
      </c>
      <c r="B250" s="7" t="s">
        <v>506</v>
      </c>
      <c r="C250" s="7" t="s">
        <v>1659</v>
      </c>
      <c r="D250" s="7" t="s">
        <v>619</v>
      </c>
      <c r="E250" s="12" t="s">
        <v>1660</v>
      </c>
      <c r="F250" s="3" t="s">
        <v>621</v>
      </c>
      <c r="G250" s="3" t="s">
        <v>622</v>
      </c>
      <c r="H250" s="3" t="s">
        <v>623</v>
      </c>
      <c r="I250" s="10" t="n">
        <v>1</v>
      </c>
      <c r="J250" s="10" t="n">
        <v>1</v>
      </c>
      <c r="K250" s="3" t="s">
        <v>695</v>
      </c>
      <c r="L250" s="3" t="s">
        <v>1358</v>
      </c>
    </row>
    <row r="251" customFormat="false" ht="35.05" hidden="false" customHeight="false" outlineLevel="0" collapsed="false">
      <c r="A251" s="7" t="s">
        <v>1661</v>
      </c>
      <c r="B251" s="7" t="s">
        <v>507</v>
      </c>
      <c r="C251" s="7" t="s">
        <v>1662</v>
      </c>
      <c r="D251" s="7" t="s">
        <v>619</v>
      </c>
      <c r="E251" s="12" t="s">
        <v>1663</v>
      </c>
      <c r="F251" s="3" t="s">
        <v>621</v>
      </c>
      <c r="G251" s="3" t="s">
        <v>622</v>
      </c>
      <c r="H251" s="3" t="s">
        <v>623</v>
      </c>
      <c r="I251" s="10" t="n">
        <v>1</v>
      </c>
      <c r="J251" s="10" t="n">
        <v>1</v>
      </c>
      <c r="K251" s="3" t="s">
        <v>755</v>
      </c>
      <c r="L251" s="3" t="s">
        <v>1664</v>
      </c>
    </row>
    <row r="252" customFormat="false" ht="35.05" hidden="false" customHeight="false" outlineLevel="0" collapsed="false">
      <c r="A252" s="7" t="s">
        <v>1665</v>
      </c>
      <c r="B252" s="7" t="s">
        <v>512</v>
      </c>
      <c r="C252" s="7" t="s">
        <v>1666</v>
      </c>
      <c r="D252" s="7" t="s">
        <v>714</v>
      </c>
      <c r="E252" s="12" t="s">
        <v>1667</v>
      </c>
      <c r="F252" s="3" t="s">
        <v>716</v>
      </c>
      <c r="G252" s="3" t="s">
        <v>1084</v>
      </c>
      <c r="H252" s="3" t="s">
        <v>765</v>
      </c>
      <c r="I252" s="10" t="n">
        <v>1</v>
      </c>
      <c r="J252" s="10" t="n">
        <v>1</v>
      </c>
      <c r="K252" s="3" t="s">
        <v>755</v>
      </c>
      <c r="L252" s="3" t="s">
        <v>1668</v>
      </c>
    </row>
    <row r="253" customFormat="false" ht="35.05" hidden="false" customHeight="false" outlineLevel="0" collapsed="false">
      <c r="A253" s="7" t="s">
        <v>1669</v>
      </c>
      <c r="B253" s="7" t="s">
        <v>513</v>
      </c>
      <c r="C253" s="7" t="s">
        <v>1670</v>
      </c>
      <c r="D253" s="7" t="s">
        <v>714</v>
      </c>
      <c r="E253" s="12" t="s">
        <v>1671</v>
      </c>
      <c r="F253" s="3" t="s">
        <v>716</v>
      </c>
      <c r="G253" s="3" t="s">
        <v>622</v>
      </c>
      <c r="H253" s="3" t="s">
        <v>717</v>
      </c>
      <c r="I253" s="10" t="n">
        <v>1</v>
      </c>
      <c r="J253" s="10" t="n">
        <v>1</v>
      </c>
      <c r="K253" s="3" t="s">
        <v>755</v>
      </c>
      <c r="L253" s="3" t="s">
        <v>1672</v>
      </c>
    </row>
    <row r="254" customFormat="false" ht="35.05" hidden="false" customHeight="false" outlineLevel="0" collapsed="false">
      <c r="A254" s="7" t="s">
        <v>1673</v>
      </c>
      <c r="B254" s="7" t="s">
        <v>516</v>
      </c>
      <c r="C254" s="7" t="s">
        <v>1674</v>
      </c>
      <c r="D254" s="7" t="s">
        <v>714</v>
      </c>
      <c r="E254" s="12" t="s">
        <v>1675</v>
      </c>
      <c r="F254" s="3" t="s">
        <v>1676</v>
      </c>
      <c r="G254" s="3" t="s">
        <v>1677</v>
      </c>
      <c r="H254" s="3" t="s">
        <v>639</v>
      </c>
      <c r="I254" s="10" t="n">
        <v>1</v>
      </c>
      <c r="J254" s="10" t="n">
        <v>1</v>
      </c>
      <c r="K254" s="3" t="s">
        <v>755</v>
      </c>
      <c r="L254" s="3" t="s">
        <v>1678</v>
      </c>
    </row>
    <row r="255" customFormat="false" ht="35.05" hidden="false" customHeight="false" outlineLevel="0" collapsed="false">
      <c r="A255" s="7" t="s">
        <v>1679</v>
      </c>
      <c r="B255" s="7" t="s">
        <v>516</v>
      </c>
      <c r="C255" s="7" t="s">
        <v>1680</v>
      </c>
      <c r="D255" s="7" t="s">
        <v>714</v>
      </c>
      <c r="E255" s="12" t="s">
        <v>1681</v>
      </c>
      <c r="F255" s="3" t="s">
        <v>638</v>
      </c>
      <c r="G255" s="3" t="s">
        <v>1682</v>
      </c>
      <c r="H255" s="3" t="s">
        <v>765</v>
      </c>
      <c r="I255" s="10" t="n">
        <v>2</v>
      </c>
      <c r="J255" s="10" t="n">
        <v>2</v>
      </c>
      <c r="K255" s="3" t="s">
        <v>755</v>
      </c>
      <c r="L255" s="3" t="s">
        <v>1683</v>
      </c>
    </row>
    <row r="256" customFormat="false" ht="35.05" hidden="false" customHeight="false" outlineLevel="0" collapsed="false">
      <c r="A256" s="7" t="s">
        <v>1684</v>
      </c>
      <c r="B256" s="7" t="s">
        <v>519</v>
      </c>
      <c r="C256" s="7" t="s">
        <v>1685</v>
      </c>
      <c r="D256" s="7" t="s">
        <v>714</v>
      </c>
      <c r="E256" s="12" t="s">
        <v>1686</v>
      </c>
      <c r="F256" s="3" t="s">
        <v>716</v>
      </c>
      <c r="G256" s="3" t="s">
        <v>622</v>
      </c>
      <c r="H256" s="3" t="s">
        <v>717</v>
      </c>
      <c r="I256" s="10" t="n">
        <v>1</v>
      </c>
      <c r="J256" s="10" t="n">
        <v>1</v>
      </c>
      <c r="K256" s="3" t="s">
        <v>755</v>
      </c>
      <c r="L256" s="3" t="s">
        <v>1687</v>
      </c>
    </row>
    <row r="257" customFormat="false" ht="35.05" hidden="false" customHeight="false" outlineLevel="0" collapsed="false">
      <c r="A257" s="7" t="s">
        <v>1688</v>
      </c>
      <c r="B257" s="7" t="s">
        <v>520</v>
      </c>
      <c r="C257" s="7" t="s">
        <v>1689</v>
      </c>
      <c r="D257" s="7" t="s">
        <v>714</v>
      </c>
      <c r="E257" s="12" t="s">
        <v>1690</v>
      </c>
      <c r="F257" s="3" t="s">
        <v>716</v>
      </c>
      <c r="G257" s="3" t="s">
        <v>622</v>
      </c>
      <c r="H257" s="3" t="s">
        <v>717</v>
      </c>
      <c r="I257" s="10" t="n">
        <v>1</v>
      </c>
      <c r="J257" s="10" t="n">
        <v>1</v>
      </c>
      <c r="K257" s="3" t="s">
        <v>695</v>
      </c>
      <c r="L257" s="3" t="s">
        <v>1691</v>
      </c>
    </row>
    <row r="258" customFormat="false" ht="35.05" hidden="false" customHeight="false" outlineLevel="0" collapsed="false">
      <c r="A258" s="7" t="s">
        <v>1692</v>
      </c>
      <c r="B258" s="7" t="s">
        <v>522</v>
      </c>
      <c r="C258" s="7" t="s">
        <v>1693</v>
      </c>
      <c r="D258" s="7" t="s">
        <v>714</v>
      </c>
      <c r="E258" s="12" t="s">
        <v>1694</v>
      </c>
      <c r="F258" s="3" t="s">
        <v>716</v>
      </c>
      <c r="G258" s="3" t="s">
        <v>622</v>
      </c>
      <c r="H258" s="3" t="s">
        <v>717</v>
      </c>
      <c r="I258" s="10" t="n">
        <v>1</v>
      </c>
      <c r="J258" s="10" t="n">
        <v>1</v>
      </c>
      <c r="K258" s="3" t="s">
        <v>624</v>
      </c>
      <c r="L258" s="3" t="s">
        <v>1695</v>
      </c>
    </row>
    <row r="259" customFormat="false" ht="23.85" hidden="false" customHeight="false" outlineLevel="0" collapsed="false">
      <c r="A259" s="7" t="s">
        <v>1696</v>
      </c>
      <c r="B259" s="7" t="s">
        <v>522</v>
      </c>
      <c r="C259" s="7" t="s">
        <v>1697</v>
      </c>
      <c r="D259" s="7" t="s">
        <v>714</v>
      </c>
      <c r="E259" s="12" t="s">
        <v>1698</v>
      </c>
      <c r="F259" s="3" t="s">
        <v>716</v>
      </c>
      <c r="G259" s="3" t="s">
        <v>622</v>
      </c>
      <c r="H259" s="3" t="s">
        <v>717</v>
      </c>
      <c r="I259" s="10" t="n">
        <v>1</v>
      </c>
      <c r="J259" s="10" t="n">
        <v>2</v>
      </c>
      <c r="K259" s="3" t="s">
        <v>624</v>
      </c>
      <c r="L259" s="3" t="s">
        <v>1699</v>
      </c>
    </row>
    <row r="260" customFormat="false" ht="35.05" hidden="false" customHeight="false" outlineLevel="0" collapsed="false">
      <c r="A260" s="7" t="s">
        <v>1700</v>
      </c>
      <c r="B260" s="7" t="s">
        <v>78</v>
      </c>
      <c r="C260" s="7" t="s">
        <v>1701</v>
      </c>
      <c r="D260" s="7" t="s">
        <v>714</v>
      </c>
      <c r="E260" s="12" t="s">
        <v>1702</v>
      </c>
      <c r="F260" s="3" t="s">
        <v>716</v>
      </c>
      <c r="G260" s="3" t="s">
        <v>622</v>
      </c>
      <c r="H260" s="3" t="s">
        <v>717</v>
      </c>
      <c r="I260" s="10" t="n">
        <v>1</v>
      </c>
      <c r="J260" s="10" t="n">
        <v>1</v>
      </c>
      <c r="K260" s="3" t="s">
        <v>624</v>
      </c>
      <c r="L260" s="3" t="s">
        <v>1703</v>
      </c>
    </row>
    <row r="261" customFormat="false" ht="35.05" hidden="false" customHeight="false" outlineLevel="0" collapsed="false">
      <c r="A261" s="7" t="s">
        <v>1704</v>
      </c>
      <c r="B261" s="7" t="s">
        <v>525</v>
      </c>
      <c r="C261" s="7" t="s">
        <v>1705</v>
      </c>
      <c r="D261" s="7" t="s">
        <v>714</v>
      </c>
      <c r="E261" s="12" t="s">
        <v>1706</v>
      </c>
      <c r="F261" s="3" t="s">
        <v>716</v>
      </c>
      <c r="G261" s="3" t="s">
        <v>622</v>
      </c>
      <c r="H261" s="3" t="s">
        <v>717</v>
      </c>
      <c r="I261" s="10" t="n">
        <v>1</v>
      </c>
      <c r="J261" s="10" t="n">
        <v>1</v>
      </c>
      <c r="K261" s="3" t="s">
        <v>755</v>
      </c>
      <c r="L261" s="3" t="s">
        <v>1707</v>
      </c>
    </row>
    <row r="262" customFormat="false" ht="35.05" hidden="false" customHeight="false" outlineLevel="0" collapsed="false">
      <c r="A262" s="7" t="s">
        <v>1708</v>
      </c>
      <c r="B262" s="7" t="s">
        <v>525</v>
      </c>
      <c r="C262" s="7" t="s">
        <v>1709</v>
      </c>
      <c r="D262" s="7" t="s">
        <v>714</v>
      </c>
      <c r="E262" s="12" t="s">
        <v>1710</v>
      </c>
      <c r="F262" s="3" t="s">
        <v>716</v>
      </c>
      <c r="G262" s="3" t="s">
        <v>622</v>
      </c>
      <c r="H262" s="3" t="s">
        <v>717</v>
      </c>
      <c r="I262" s="10" t="n">
        <v>2</v>
      </c>
      <c r="J262" s="10" t="n">
        <v>2</v>
      </c>
      <c r="K262" s="3" t="s">
        <v>755</v>
      </c>
      <c r="L262" s="3" t="s">
        <v>1711</v>
      </c>
    </row>
    <row r="263" customFormat="false" ht="23.85" hidden="false" customHeight="false" outlineLevel="0" collapsed="false">
      <c r="A263" s="7" t="s">
        <v>1712</v>
      </c>
      <c r="B263" s="7" t="s">
        <v>527</v>
      </c>
      <c r="C263" s="7" t="s">
        <v>1713</v>
      </c>
      <c r="D263" s="7" t="s">
        <v>636</v>
      </c>
      <c r="E263" s="12" t="s">
        <v>1714</v>
      </c>
      <c r="F263" s="3" t="s">
        <v>638</v>
      </c>
      <c r="G263" s="3" t="s">
        <v>622</v>
      </c>
      <c r="H263" s="3" t="s">
        <v>639</v>
      </c>
      <c r="I263" s="10" t="n">
        <v>1</v>
      </c>
      <c r="J263" s="10" t="n">
        <v>1</v>
      </c>
      <c r="K263" s="3" t="s">
        <v>624</v>
      </c>
      <c r="L263" s="3" t="s">
        <v>1715</v>
      </c>
    </row>
    <row r="264" customFormat="false" ht="23.85" hidden="false" customHeight="false" outlineLevel="0" collapsed="false">
      <c r="A264" s="7" t="s">
        <v>1716</v>
      </c>
      <c r="B264" s="7" t="s">
        <v>527</v>
      </c>
      <c r="C264" s="7" t="s">
        <v>1717</v>
      </c>
      <c r="D264" s="7" t="s">
        <v>636</v>
      </c>
      <c r="E264" s="12" t="s">
        <v>1718</v>
      </c>
      <c r="F264" s="3" t="s">
        <v>638</v>
      </c>
      <c r="G264" s="3" t="s">
        <v>622</v>
      </c>
      <c r="H264" s="3" t="s">
        <v>639</v>
      </c>
      <c r="I264" s="10" t="n">
        <v>1</v>
      </c>
      <c r="J264" s="10" t="n">
        <v>2</v>
      </c>
      <c r="K264" s="3" t="s">
        <v>624</v>
      </c>
      <c r="L264" s="3" t="s">
        <v>1719</v>
      </c>
    </row>
    <row r="265" customFormat="false" ht="23.85" hidden="false" customHeight="false" outlineLevel="0" collapsed="false">
      <c r="A265" s="7" t="s">
        <v>1720</v>
      </c>
      <c r="B265" s="7" t="s">
        <v>527</v>
      </c>
      <c r="C265" s="7" t="s">
        <v>1721</v>
      </c>
      <c r="D265" s="7" t="s">
        <v>636</v>
      </c>
      <c r="E265" s="12" t="s">
        <v>1722</v>
      </c>
      <c r="F265" s="3" t="s">
        <v>638</v>
      </c>
      <c r="G265" s="3" t="s">
        <v>622</v>
      </c>
      <c r="H265" s="3" t="s">
        <v>639</v>
      </c>
      <c r="I265" s="10" t="n">
        <v>2</v>
      </c>
      <c r="J265" s="10" t="n">
        <v>3</v>
      </c>
      <c r="K265" s="3" t="s">
        <v>624</v>
      </c>
      <c r="L265" s="3" t="s">
        <v>1723</v>
      </c>
    </row>
    <row r="266" customFormat="false" ht="15" hidden="false" customHeight="false" outlineLevel="0" collapsed="false">
      <c r="A266" s="3" t="s">
        <v>1724</v>
      </c>
      <c r="B266" s="3" t="s">
        <v>527</v>
      </c>
      <c r="C266" s="3" t="s">
        <v>1725</v>
      </c>
      <c r="D266" s="3" t="s">
        <v>1066</v>
      </c>
      <c r="E266" s="12" t="s">
        <v>1726</v>
      </c>
      <c r="F266" s="3" t="s">
        <v>638</v>
      </c>
      <c r="G266" s="3" t="s">
        <v>622</v>
      </c>
      <c r="H266" s="3" t="s">
        <v>639</v>
      </c>
      <c r="I266" s="10" t="n">
        <v>3</v>
      </c>
      <c r="J266" s="10"/>
      <c r="K266" s="3" t="s">
        <v>624</v>
      </c>
      <c r="L266" s="3" t="s">
        <v>1727</v>
      </c>
    </row>
    <row r="267" customFormat="false" ht="23.85" hidden="false" customHeight="false" outlineLevel="0" collapsed="false">
      <c r="A267" s="7" t="s">
        <v>1728</v>
      </c>
      <c r="B267" s="7" t="s">
        <v>531</v>
      </c>
      <c r="C267" s="7" t="s">
        <v>1729</v>
      </c>
      <c r="D267" s="7" t="s">
        <v>1730</v>
      </c>
      <c r="E267" s="12" t="s">
        <v>1731</v>
      </c>
      <c r="F267" s="3" t="s">
        <v>1732</v>
      </c>
      <c r="G267" s="3" t="s">
        <v>622</v>
      </c>
      <c r="H267" s="3" t="s">
        <v>650</v>
      </c>
      <c r="I267" s="10" t="n">
        <v>1</v>
      </c>
      <c r="J267" s="10" t="n">
        <v>1</v>
      </c>
      <c r="K267" s="3" t="s">
        <v>632</v>
      </c>
      <c r="L267" s="3" t="s">
        <v>1733</v>
      </c>
    </row>
    <row r="268" customFormat="false" ht="15" hidden="false" customHeight="false" outlineLevel="0" collapsed="false">
      <c r="A268" s="7" t="s">
        <v>1734</v>
      </c>
      <c r="B268" s="7" t="s">
        <v>531</v>
      </c>
      <c r="C268" s="7" t="s">
        <v>1735</v>
      </c>
      <c r="D268" s="7" t="s">
        <v>619</v>
      </c>
      <c r="E268" s="12" t="s">
        <v>1736</v>
      </c>
      <c r="F268" s="3" t="s">
        <v>621</v>
      </c>
      <c r="G268" s="3" t="s">
        <v>622</v>
      </c>
      <c r="H268" s="3" t="s">
        <v>623</v>
      </c>
      <c r="I268" s="10" t="n">
        <v>1</v>
      </c>
      <c r="J268" s="10" t="n">
        <v>2</v>
      </c>
      <c r="K268" s="3" t="s">
        <v>624</v>
      </c>
      <c r="L268" s="3" t="s">
        <v>1737</v>
      </c>
    </row>
    <row r="269" customFormat="false" ht="15" hidden="false" customHeight="false" outlineLevel="0" collapsed="false">
      <c r="A269" s="7" t="s">
        <v>1738</v>
      </c>
      <c r="B269" s="7" t="s">
        <v>531</v>
      </c>
      <c r="C269" s="7" t="s">
        <v>1739</v>
      </c>
      <c r="D269" s="7" t="s">
        <v>628</v>
      </c>
      <c r="E269" s="12" t="s">
        <v>1740</v>
      </c>
      <c r="F269" s="3" t="s">
        <v>630</v>
      </c>
      <c r="G269" s="3" t="s">
        <v>622</v>
      </c>
      <c r="H269" s="3" t="s">
        <v>631</v>
      </c>
      <c r="I269" s="10" t="n">
        <v>1</v>
      </c>
      <c r="J269" s="10" t="n">
        <v>3</v>
      </c>
      <c r="K269" s="3" t="s">
        <v>624</v>
      </c>
      <c r="L269" s="3" t="s">
        <v>1741</v>
      </c>
    </row>
    <row r="270" customFormat="false" ht="15" hidden="false" customHeight="false" outlineLevel="0" collapsed="false">
      <c r="A270" s="3" t="s">
        <v>1742</v>
      </c>
      <c r="B270" s="3" t="s">
        <v>531</v>
      </c>
      <c r="C270" s="3" t="s">
        <v>1743</v>
      </c>
      <c r="D270" s="3" t="s">
        <v>1205</v>
      </c>
      <c r="E270" s="12" t="s">
        <v>1744</v>
      </c>
      <c r="F270" s="3" t="s">
        <v>638</v>
      </c>
      <c r="G270" s="3" t="s">
        <v>622</v>
      </c>
      <c r="H270" s="3" t="s">
        <v>639</v>
      </c>
      <c r="I270" s="10" t="n">
        <v>2</v>
      </c>
      <c r="J270" s="10"/>
      <c r="K270" s="3" t="s">
        <v>624</v>
      </c>
      <c r="L270" s="3" t="s">
        <v>1745</v>
      </c>
    </row>
    <row r="271" customFormat="false" ht="15" hidden="false" customHeight="false" outlineLevel="0" collapsed="false">
      <c r="A271" s="3" t="s">
        <v>1746</v>
      </c>
      <c r="B271" s="3" t="s">
        <v>531</v>
      </c>
      <c r="C271" s="3" t="s">
        <v>1747</v>
      </c>
      <c r="D271" s="3" t="s">
        <v>901</v>
      </c>
      <c r="E271" s="12" t="s">
        <v>1748</v>
      </c>
      <c r="F271" s="3" t="s">
        <v>638</v>
      </c>
      <c r="G271" s="3" t="s">
        <v>622</v>
      </c>
      <c r="H271" s="3" t="s">
        <v>639</v>
      </c>
      <c r="I271" s="10" t="n">
        <v>3</v>
      </c>
      <c r="J271" s="10"/>
      <c r="K271" s="3" t="s">
        <v>624</v>
      </c>
      <c r="L271" s="3" t="s">
        <v>1749</v>
      </c>
    </row>
    <row r="272" customFormat="false" ht="35.05" hidden="false" customHeight="false" outlineLevel="0" collapsed="false">
      <c r="A272" s="7" t="s">
        <v>1750</v>
      </c>
      <c r="B272" s="7" t="s">
        <v>533</v>
      </c>
      <c r="C272" s="7" t="s">
        <v>1751</v>
      </c>
      <c r="D272" s="7" t="s">
        <v>619</v>
      </c>
      <c r="E272" s="12" t="s">
        <v>1752</v>
      </c>
      <c r="F272" s="3" t="s">
        <v>621</v>
      </c>
      <c r="G272" s="3" t="s">
        <v>622</v>
      </c>
      <c r="H272" s="3" t="s">
        <v>623</v>
      </c>
      <c r="I272" s="10" t="n">
        <v>1</v>
      </c>
      <c r="J272" s="10" t="n">
        <v>1</v>
      </c>
      <c r="K272" s="3" t="s">
        <v>695</v>
      </c>
      <c r="L272" s="3" t="s">
        <v>1753</v>
      </c>
    </row>
    <row r="273" customFormat="false" ht="23.85" hidden="false" customHeight="false" outlineLevel="0" collapsed="false">
      <c r="A273" s="7" t="s">
        <v>1754</v>
      </c>
      <c r="B273" s="7" t="s">
        <v>533</v>
      </c>
      <c r="C273" s="7" t="s">
        <v>1755</v>
      </c>
      <c r="D273" s="7" t="s">
        <v>1066</v>
      </c>
      <c r="E273" s="12" t="s">
        <v>1726</v>
      </c>
      <c r="F273" s="3" t="s">
        <v>638</v>
      </c>
      <c r="G273" s="3" t="s">
        <v>622</v>
      </c>
      <c r="H273" s="3" t="s">
        <v>639</v>
      </c>
      <c r="I273" s="10" t="n">
        <v>2</v>
      </c>
      <c r="J273" s="10" t="n">
        <v>2</v>
      </c>
      <c r="K273" s="3" t="s">
        <v>624</v>
      </c>
      <c r="L273" s="3" t="s">
        <v>1756</v>
      </c>
    </row>
    <row r="274" customFormat="false" ht="35.05" hidden="false" customHeight="false" outlineLevel="0" collapsed="false">
      <c r="A274" s="7" t="s">
        <v>1757</v>
      </c>
      <c r="B274" s="7" t="s">
        <v>534</v>
      </c>
      <c r="C274" s="7" t="s">
        <v>1758</v>
      </c>
      <c r="D274" s="7" t="s">
        <v>901</v>
      </c>
      <c r="E274" s="12" t="s">
        <v>1759</v>
      </c>
      <c r="F274" s="3" t="s">
        <v>638</v>
      </c>
      <c r="G274" s="3" t="s">
        <v>622</v>
      </c>
      <c r="H274" s="3" t="s">
        <v>639</v>
      </c>
      <c r="I274" s="10" t="n">
        <v>1</v>
      </c>
      <c r="J274" s="10" t="n">
        <v>1</v>
      </c>
      <c r="K274" s="3" t="s">
        <v>695</v>
      </c>
      <c r="L274" s="3" t="s">
        <v>1760</v>
      </c>
    </row>
    <row r="275" customFormat="false" ht="35.05" hidden="false" customHeight="false" outlineLevel="0" collapsed="false">
      <c r="A275" s="7" t="s">
        <v>1761</v>
      </c>
      <c r="B275" s="7" t="s">
        <v>538</v>
      </c>
      <c r="C275" s="7" t="s">
        <v>1762</v>
      </c>
      <c r="D275" s="7" t="s">
        <v>901</v>
      </c>
      <c r="E275" s="12" t="s">
        <v>1763</v>
      </c>
      <c r="F275" s="3" t="s">
        <v>638</v>
      </c>
      <c r="G275" s="3" t="s">
        <v>622</v>
      </c>
      <c r="H275" s="3" t="s">
        <v>639</v>
      </c>
      <c r="I275" s="10" t="n">
        <v>1</v>
      </c>
      <c r="J275" s="10" t="n">
        <v>1</v>
      </c>
      <c r="K275" s="3" t="s">
        <v>695</v>
      </c>
      <c r="L275" s="3" t="s">
        <v>1764</v>
      </c>
    </row>
    <row r="276" customFormat="false" ht="23.85" hidden="false" customHeight="false" outlineLevel="0" collapsed="false">
      <c r="A276" s="7" t="s">
        <v>1765</v>
      </c>
      <c r="B276" s="7" t="s">
        <v>538</v>
      </c>
      <c r="C276" s="7" t="s">
        <v>1766</v>
      </c>
      <c r="D276" s="7" t="s">
        <v>1066</v>
      </c>
      <c r="E276" s="12" t="s">
        <v>1573</v>
      </c>
      <c r="F276" s="3" t="s">
        <v>649</v>
      </c>
      <c r="G276" s="3" t="s">
        <v>622</v>
      </c>
      <c r="H276" s="3" t="s">
        <v>650</v>
      </c>
      <c r="I276" s="10" t="n">
        <v>2</v>
      </c>
      <c r="J276" s="10" t="n">
        <v>2</v>
      </c>
      <c r="K276" s="3" t="s">
        <v>624</v>
      </c>
      <c r="L276" s="3" t="s">
        <v>1767</v>
      </c>
    </row>
    <row r="277" customFormat="false" ht="23.85" hidden="false" customHeight="false" outlineLevel="0" collapsed="false">
      <c r="A277" s="7" t="s">
        <v>1768</v>
      </c>
      <c r="B277" s="7" t="s">
        <v>539</v>
      </c>
      <c r="C277" s="7" t="s">
        <v>1769</v>
      </c>
      <c r="D277" s="7" t="s">
        <v>636</v>
      </c>
      <c r="E277" s="12" t="s">
        <v>1197</v>
      </c>
      <c r="F277" s="3" t="s">
        <v>630</v>
      </c>
      <c r="G277" s="3" t="s">
        <v>622</v>
      </c>
      <c r="H277" s="3" t="s">
        <v>631</v>
      </c>
      <c r="I277" s="10" t="n">
        <v>2</v>
      </c>
      <c r="J277" s="10" t="n">
        <v>1</v>
      </c>
      <c r="K277" s="3" t="s">
        <v>632</v>
      </c>
      <c r="L277" s="3" t="s">
        <v>1770</v>
      </c>
    </row>
    <row r="278" customFormat="false" ht="35.05" hidden="false" customHeight="false" outlineLevel="0" collapsed="false">
      <c r="A278" s="7" t="s">
        <v>1771</v>
      </c>
      <c r="B278" s="7" t="s">
        <v>540</v>
      </c>
      <c r="C278" s="7" t="s">
        <v>1772</v>
      </c>
      <c r="D278" s="7" t="s">
        <v>628</v>
      </c>
      <c r="E278" s="12" t="s">
        <v>1773</v>
      </c>
      <c r="F278" s="3" t="s">
        <v>630</v>
      </c>
      <c r="G278" s="3" t="s">
        <v>622</v>
      </c>
      <c r="H278" s="3" t="s">
        <v>631</v>
      </c>
      <c r="I278" s="10" t="n">
        <v>3</v>
      </c>
      <c r="J278" s="10" t="n">
        <v>1</v>
      </c>
      <c r="K278" s="3" t="s">
        <v>695</v>
      </c>
      <c r="L278" s="3" t="s">
        <v>1774</v>
      </c>
    </row>
    <row r="279" customFormat="false" ht="35.05" hidden="false" customHeight="false" outlineLevel="0" collapsed="false">
      <c r="A279" s="7" t="s">
        <v>1775</v>
      </c>
      <c r="B279" s="7" t="s">
        <v>541</v>
      </c>
      <c r="C279" s="7" t="s">
        <v>1776</v>
      </c>
      <c r="D279" s="7" t="s">
        <v>628</v>
      </c>
      <c r="E279" s="12" t="s">
        <v>1777</v>
      </c>
      <c r="F279" s="3" t="s">
        <v>630</v>
      </c>
      <c r="G279" s="3" t="s">
        <v>622</v>
      </c>
      <c r="H279" s="3" t="s">
        <v>631</v>
      </c>
      <c r="I279" s="10" t="n">
        <v>3</v>
      </c>
      <c r="J279" s="10" t="n">
        <v>1</v>
      </c>
      <c r="K279" s="3" t="s">
        <v>695</v>
      </c>
      <c r="L279" s="3" t="s">
        <v>1778</v>
      </c>
    </row>
    <row r="280" customFormat="false" ht="23.85" hidden="false" customHeight="false" outlineLevel="0" collapsed="false">
      <c r="A280" s="7" t="s">
        <v>1779</v>
      </c>
      <c r="B280" s="7" t="s">
        <v>541</v>
      </c>
      <c r="C280" s="7" t="s">
        <v>1780</v>
      </c>
      <c r="D280" s="7" t="s">
        <v>636</v>
      </c>
      <c r="E280" s="12" t="s">
        <v>1781</v>
      </c>
      <c r="F280" s="3" t="s">
        <v>638</v>
      </c>
      <c r="G280" s="3" t="s">
        <v>622</v>
      </c>
      <c r="H280" s="3" t="s">
        <v>639</v>
      </c>
      <c r="I280" s="10" t="n">
        <v>1</v>
      </c>
      <c r="J280" s="10" t="n">
        <v>2</v>
      </c>
      <c r="K280" s="3" t="s">
        <v>624</v>
      </c>
      <c r="L280" s="3" t="s">
        <v>1782</v>
      </c>
    </row>
    <row r="281" customFormat="false" ht="23.85" hidden="false" customHeight="false" outlineLevel="0" collapsed="false">
      <c r="A281" s="7" t="s">
        <v>1783</v>
      </c>
      <c r="B281" s="7" t="s">
        <v>542</v>
      </c>
      <c r="C281" s="7" t="s">
        <v>1784</v>
      </c>
      <c r="D281" s="7" t="s">
        <v>636</v>
      </c>
      <c r="E281" s="12" t="s">
        <v>1785</v>
      </c>
      <c r="F281" s="3" t="s">
        <v>638</v>
      </c>
      <c r="G281" s="3" t="s">
        <v>622</v>
      </c>
      <c r="H281" s="3" t="s">
        <v>639</v>
      </c>
      <c r="I281" s="10" t="n">
        <v>1</v>
      </c>
      <c r="J281" s="10" t="n">
        <v>1</v>
      </c>
      <c r="K281" s="3" t="s">
        <v>624</v>
      </c>
      <c r="L281" s="3" t="s">
        <v>1786</v>
      </c>
    </row>
    <row r="282" customFormat="false" ht="15" hidden="false" customHeight="false" outlineLevel="0" collapsed="false">
      <c r="A282" s="7" t="s">
        <v>1787</v>
      </c>
      <c r="B282" s="7" t="s">
        <v>542</v>
      </c>
      <c r="C282" s="7" t="s">
        <v>1788</v>
      </c>
      <c r="D282" s="7" t="s">
        <v>1423</v>
      </c>
      <c r="E282" s="12" t="s">
        <v>1789</v>
      </c>
      <c r="F282" s="3" t="s">
        <v>638</v>
      </c>
      <c r="G282" s="3" t="s">
        <v>622</v>
      </c>
      <c r="H282" s="3" t="s">
        <v>639</v>
      </c>
      <c r="I282" s="10" t="n">
        <v>1</v>
      </c>
      <c r="J282" s="10" t="n">
        <v>2</v>
      </c>
      <c r="K282" s="3" t="s">
        <v>624</v>
      </c>
      <c r="L282" s="3" t="s">
        <v>1790</v>
      </c>
    </row>
    <row r="283" customFormat="false" ht="15" hidden="false" customHeight="false" outlineLevel="0" collapsed="false">
      <c r="A283" s="7" t="s">
        <v>1791</v>
      </c>
      <c r="B283" s="7" t="s">
        <v>542</v>
      </c>
      <c r="C283" s="7" t="s">
        <v>1792</v>
      </c>
      <c r="D283" s="7" t="s">
        <v>901</v>
      </c>
      <c r="E283" s="12" t="s">
        <v>1793</v>
      </c>
      <c r="F283" s="3" t="s">
        <v>638</v>
      </c>
      <c r="G283" s="3" t="s">
        <v>622</v>
      </c>
      <c r="H283" s="3" t="s">
        <v>639</v>
      </c>
      <c r="I283" s="10" t="n">
        <v>2</v>
      </c>
      <c r="J283" s="10" t="n">
        <v>3</v>
      </c>
      <c r="K283" s="3" t="s">
        <v>624</v>
      </c>
      <c r="L283" s="3" t="s">
        <v>1794</v>
      </c>
    </row>
    <row r="284" customFormat="false" ht="35.05" hidden="false" customHeight="false" outlineLevel="0" collapsed="false">
      <c r="A284" s="7" t="s">
        <v>1795</v>
      </c>
      <c r="B284" s="7" t="s">
        <v>543</v>
      </c>
      <c r="C284" s="7" t="s">
        <v>1796</v>
      </c>
      <c r="D284" s="7" t="s">
        <v>628</v>
      </c>
      <c r="E284" s="12" t="s">
        <v>1797</v>
      </c>
      <c r="F284" s="3" t="s">
        <v>630</v>
      </c>
      <c r="G284" s="3" t="s">
        <v>622</v>
      </c>
      <c r="H284" s="3" t="s">
        <v>631</v>
      </c>
      <c r="I284" s="10" t="n">
        <v>1</v>
      </c>
      <c r="J284" s="10" t="n">
        <v>1</v>
      </c>
      <c r="K284" s="3" t="s">
        <v>695</v>
      </c>
      <c r="L284" s="3" t="s">
        <v>1798</v>
      </c>
    </row>
    <row r="285" customFormat="false" ht="15" hidden="false" customHeight="false" outlineLevel="0" collapsed="false">
      <c r="A285" s="7" t="s">
        <v>1799</v>
      </c>
      <c r="B285" s="7" t="s">
        <v>545</v>
      </c>
      <c r="C285" s="7" t="s">
        <v>1800</v>
      </c>
      <c r="D285" s="7" t="s">
        <v>619</v>
      </c>
      <c r="E285" s="12" t="s">
        <v>1801</v>
      </c>
      <c r="F285" s="3" t="s">
        <v>621</v>
      </c>
      <c r="G285" s="3" t="s">
        <v>622</v>
      </c>
      <c r="H285" s="3" t="s">
        <v>623</v>
      </c>
      <c r="I285" s="10" t="n">
        <v>1</v>
      </c>
      <c r="J285" s="10" t="n">
        <v>1</v>
      </c>
      <c r="K285" s="3" t="s">
        <v>624</v>
      </c>
      <c r="L285" s="3" t="s">
        <v>1802</v>
      </c>
    </row>
    <row r="286" customFormat="false" ht="35.05" hidden="false" customHeight="false" outlineLevel="0" collapsed="false">
      <c r="A286" s="7" t="s">
        <v>1803</v>
      </c>
      <c r="B286" s="7" t="s">
        <v>545</v>
      </c>
      <c r="C286" s="7" t="s">
        <v>1804</v>
      </c>
      <c r="D286" s="7" t="s">
        <v>628</v>
      </c>
      <c r="E286" s="12" t="s">
        <v>1805</v>
      </c>
      <c r="F286" s="3" t="s">
        <v>630</v>
      </c>
      <c r="G286" s="3" t="s">
        <v>622</v>
      </c>
      <c r="H286" s="3" t="s">
        <v>631</v>
      </c>
      <c r="I286" s="10" t="n">
        <v>2</v>
      </c>
      <c r="J286" s="10" t="n">
        <v>2</v>
      </c>
      <c r="K286" s="3" t="s">
        <v>695</v>
      </c>
      <c r="L286" s="3" t="s">
        <v>1806</v>
      </c>
    </row>
    <row r="287" customFormat="false" ht="35.05" hidden="false" customHeight="false" outlineLevel="0" collapsed="false">
      <c r="A287" s="7" t="s">
        <v>1807</v>
      </c>
      <c r="B287" s="7" t="s">
        <v>547</v>
      </c>
      <c r="C287" s="7" t="s">
        <v>1808</v>
      </c>
      <c r="D287" s="7" t="s">
        <v>628</v>
      </c>
      <c r="E287" s="12" t="s">
        <v>1809</v>
      </c>
      <c r="F287" s="3" t="s">
        <v>630</v>
      </c>
      <c r="G287" s="3" t="s">
        <v>622</v>
      </c>
      <c r="H287" s="3" t="s">
        <v>631</v>
      </c>
      <c r="I287" s="10" t="n">
        <v>2</v>
      </c>
      <c r="J287" s="10" t="n">
        <v>1</v>
      </c>
      <c r="K287" s="3" t="s">
        <v>695</v>
      </c>
      <c r="L287" s="3" t="s">
        <v>1810</v>
      </c>
    </row>
    <row r="288" customFormat="false" ht="35.05" hidden="false" customHeight="false" outlineLevel="0" collapsed="false">
      <c r="A288" s="7" t="s">
        <v>1811</v>
      </c>
      <c r="B288" s="7" t="s">
        <v>548</v>
      </c>
      <c r="C288" s="7" t="s">
        <v>1812</v>
      </c>
      <c r="D288" s="7" t="s">
        <v>628</v>
      </c>
      <c r="E288" s="12" t="s">
        <v>1813</v>
      </c>
      <c r="F288" s="3" t="s">
        <v>630</v>
      </c>
      <c r="G288" s="3" t="s">
        <v>622</v>
      </c>
      <c r="H288" s="3" t="s">
        <v>631</v>
      </c>
      <c r="I288" s="10" t="n">
        <v>3</v>
      </c>
      <c r="J288" s="10" t="n">
        <v>1</v>
      </c>
      <c r="K288" s="3" t="s">
        <v>695</v>
      </c>
      <c r="L288" s="3" t="s">
        <v>1810</v>
      </c>
    </row>
    <row r="289" customFormat="false" ht="35.05" hidden="false" customHeight="false" outlineLevel="0" collapsed="false">
      <c r="A289" s="7" t="s">
        <v>1814</v>
      </c>
      <c r="B289" s="7" t="s">
        <v>549</v>
      </c>
      <c r="C289" s="7" t="s">
        <v>1815</v>
      </c>
      <c r="D289" s="7" t="s">
        <v>901</v>
      </c>
      <c r="E289" s="12" t="s">
        <v>1816</v>
      </c>
      <c r="F289" s="3" t="s">
        <v>638</v>
      </c>
      <c r="G289" s="3" t="s">
        <v>622</v>
      </c>
      <c r="H289" s="3" t="s">
        <v>639</v>
      </c>
      <c r="I289" s="10" t="n">
        <v>2</v>
      </c>
      <c r="J289" s="10" t="n">
        <v>1</v>
      </c>
      <c r="K289" s="3" t="s">
        <v>695</v>
      </c>
      <c r="L289" s="3" t="s">
        <v>1817</v>
      </c>
    </row>
    <row r="290" customFormat="false" ht="35.05" hidden="false" customHeight="false" outlineLevel="0" collapsed="false">
      <c r="A290" s="7" t="s">
        <v>1818</v>
      </c>
      <c r="B290" s="7" t="s">
        <v>550</v>
      </c>
      <c r="C290" s="7" t="s">
        <v>1819</v>
      </c>
      <c r="D290" s="7" t="s">
        <v>901</v>
      </c>
      <c r="E290" s="12" t="s">
        <v>1820</v>
      </c>
      <c r="F290" s="3" t="s">
        <v>638</v>
      </c>
      <c r="G290" s="3" t="s">
        <v>622</v>
      </c>
      <c r="H290" s="3" t="s">
        <v>639</v>
      </c>
      <c r="I290" s="10" t="n">
        <v>3</v>
      </c>
      <c r="J290" s="10" t="n">
        <v>1</v>
      </c>
      <c r="K290" s="3" t="s">
        <v>695</v>
      </c>
      <c r="L290" s="3" t="s">
        <v>1821</v>
      </c>
    </row>
    <row r="291" customFormat="false" ht="35.05" hidden="false" customHeight="false" outlineLevel="0" collapsed="false">
      <c r="A291" s="7" t="s">
        <v>1822</v>
      </c>
      <c r="B291" s="7" t="s">
        <v>551</v>
      </c>
      <c r="C291" s="7" t="s">
        <v>1823</v>
      </c>
      <c r="D291" s="7" t="s">
        <v>901</v>
      </c>
      <c r="E291" s="12" t="s">
        <v>1824</v>
      </c>
      <c r="F291" s="3" t="s">
        <v>638</v>
      </c>
      <c r="G291" s="3" t="s">
        <v>622</v>
      </c>
      <c r="H291" s="3" t="s">
        <v>639</v>
      </c>
      <c r="I291" s="10" t="n">
        <v>3</v>
      </c>
      <c r="J291" s="10" t="n">
        <v>1</v>
      </c>
      <c r="K291" s="3" t="s">
        <v>695</v>
      </c>
      <c r="L291" s="3" t="s">
        <v>1825</v>
      </c>
    </row>
    <row r="292" customFormat="false" ht="23.85" hidden="false" customHeight="false" outlineLevel="0" collapsed="false">
      <c r="A292" s="7" t="s">
        <v>1826</v>
      </c>
      <c r="B292" s="7" t="s">
        <v>555</v>
      </c>
      <c r="C292" s="7" t="s">
        <v>1827</v>
      </c>
      <c r="D292" s="7" t="s">
        <v>619</v>
      </c>
      <c r="E292" s="12" t="s">
        <v>1828</v>
      </c>
      <c r="F292" s="3" t="s">
        <v>621</v>
      </c>
      <c r="G292" s="3" t="s">
        <v>622</v>
      </c>
      <c r="H292" s="3" t="s">
        <v>623</v>
      </c>
      <c r="I292" s="10" t="n">
        <v>1</v>
      </c>
      <c r="J292" s="10" t="n">
        <v>1</v>
      </c>
      <c r="K292" s="3" t="s">
        <v>624</v>
      </c>
      <c r="L292" s="3" t="s">
        <v>1829</v>
      </c>
    </row>
    <row r="293" customFormat="false" ht="35.05" hidden="false" customHeight="false" outlineLevel="0" collapsed="false">
      <c r="A293" s="7" t="s">
        <v>1830</v>
      </c>
      <c r="B293" s="7" t="s">
        <v>557</v>
      </c>
      <c r="C293" s="7" t="s">
        <v>1831</v>
      </c>
      <c r="D293" s="7" t="s">
        <v>714</v>
      </c>
      <c r="E293" s="12" t="s">
        <v>1832</v>
      </c>
      <c r="F293" s="3" t="s">
        <v>716</v>
      </c>
      <c r="G293" s="3" t="s">
        <v>622</v>
      </c>
      <c r="H293" s="3" t="s">
        <v>717</v>
      </c>
      <c r="I293" s="10" t="n">
        <v>1</v>
      </c>
      <c r="J293" s="10" t="n">
        <v>1</v>
      </c>
      <c r="K293" s="3" t="s">
        <v>695</v>
      </c>
      <c r="L293" s="3" t="s">
        <v>1833</v>
      </c>
    </row>
    <row r="294" customFormat="false" ht="23.85" hidden="false" customHeight="false" outlineLevel="0" collapsed="false">
      <c r="A294" s="7" t="s">
        <v>1834</v>
      </c>
      <c r="B294" s="7" t="s">
        <v>559</v>
      </c>
      <c r="C294" s="7" t="s">
        <v>1835</v>
      </c>
      <c r="D294" s="7" t="s">
        <v>918</v>
      </c>
      <c r="E294" s="12" t="s">
        <v>1836</v>
      </c>
      <c r="F294" s="3" t="s">
        <v>638</v>
      </c>
      <c r="G294" s="3" t="s">
        <v>622</v>
      </c>
      <c r="H294" s="3" t="s">
        <v>639</v>
      </c>
      <c r="I294" s="10" t="n">
        <v>1</v>
      </c>
      <c r="J294" s="10" t="n">
        <v>1</v>
      </c>
      <c r="K294" s="3" t="s">
        <v>624</v>
      </c>
      <c r="L294" s="3" t="s">
        <v>1837</v>
      </c>
    </row>
    <row r="295" customFormat="false" ht="15" hidden="false" customHeight="false" outlineLevel="0" collapsed="false">
      <c r="A295" s="7" t="s">
        <v>1838</v>
      </c>
      <c r="B295" s="7" t="s">
        <v>559</v>
      </c>
      <c r="C295" s="7" t="s">
        <v>1839</v>
      </c>
      <c r="D295" s="7" t="s">
        <v>991</v>
      </c>
      <c r="E295" s="12" t="s">
        <v>1840</v>
      </c>
      <c r="F295" s="3" t="s">
        <v>638</v>
      </c>
      <c r="G295" s="3" t="s">
        <v>622</v>
      </c>
      <c r="H295" s="3" t="s">
        <v>639</v>
      </c>
      <c r="I295" s="10" t="n">
        <v>1</v>
      </c>
      <c r="J295" s="10" t="n">
        <v>2</v>
      </c>
      <c r="K295" s="3" t="s">
        <v>624</v>
      </c>
      <c r="L295" s="3" t="s">
        <v>1841</v>
      </c>
    </row>
    <row r="296" customFormat="false" ht="23.85" hidden="false" customHeight="false" outlineLevel="0" collapsed="false">
      <c r="A296" s="7" t="s">
        <v>1842</v>
      </c>
      <c r="B296" s="7" t="s">
        <v>559</v>
      </c>
      <c r="C296" s="7" t="s">
        <v>1843</v>
      </c>
      <c r="D296" s="7" t="s">
        <v>636</v>
      </c>
      <c r="E296" s="12" t="s">
        <v>1844</v>
      </c>
      <c r="F296" s="3" t="s">
        <v>638</v>
      </c>
      <c r="G296" s="3" t="s">
        <v>622</v>
      </c>
      <c r="H296" s="3" t="s">
        <v>639</v>
      </c>
      <c r="I296" s="10" t="n">
        <v>1</v>
      </c>
      <c r="J296" s="10" t="n">
        <v>3</v>
      </c>
      <c r="K296" s="3" t="s">
        <v>624</v>
      </c>
      <c r="L296" s="3" t="s">
        <v>1845</v>
      </c>
    </row>
    <row r="297" customFormat="false" ht="23.85" hidden="false" customHeight="false" outlineLevel="0" collapsed="false">
      <c r="A297" s="3" t="s">
        <v>1846</v>
      </c>
      <c r="B297" s="3" t="s">
        <v>559</v>
      </c>
      <c r="C297" s="3" t="s">
        <v>1847</v>
      </c>
      <c r="D297" s="3" t="s">
        <v>628</v>
      </c>
      <c r="E297" s="12" t="s">
        <v>1848</v>
      </c>
      <c r="F297" s="3" t="s">
        <v>630</v>
      </c>
      <c r="G297" s="3" t="s">
        <v>622</v>
      </c>
      <c r="H297" s="3" t="s">
        <v>631</v>
      </c>
      <c r="I297" s="10" t="n">
        <v>1</v>
      </c>
      <c r="J297" s="10"/>
      <c r="K297" s="3" t="s">
        <v>624</v>
      </c>
      <c r="L297" s="3" t="s">
        <v>1849</v>
      </c>
    </row>
    <row r="298" customFormat="false" ht="23.85" hidden="false" customHeight="false" outlineLevel="0" collapsed="false">
      <c r="A298" s="3" t="s">
        <v>1850</v>
      </c>
      <c r="B298" s="3" t="s">
        <v>559</v>
      </c>
      <c r="C298" s="3" t="s">
        <v>1851</v>
      </c>
      <c r="D298" s="3" t="s">
        <v>636</v>
      </c>
      <c r="E298" s="12" t="s">
        <v>1852</v>
      </c>
      <c r="F298" s="3" t="s">
        <v>638</v>
      </c>
      <c r="G298" s="3" t="s">
        <v>622</v>
      </c>
      <c r="H298" s="3" t="s">
        <v>639</v>
      </c>
      <c r="I298" s="10" t="n">
        <v>1</v>
      </c>
      <c r="J298" s="10"/>
      <c r="K298" s="3" t="s">
        <v>624</v>
      </c>
      <c r="L298" s="3" t="s">
        <v>1853</v>
      </c>
    </row>
    <row r="299" customFormat="false" ht="23.85" hidden="false" customHeight="false" outlineLevel="0" collapsed="false">
      <c r="A299" s="3" t="s">
        <v>1854</v>
      </c>
      <c r="B299" s="3" t="s">
        <v>559</v>
      </c>
      <c r="C299" s="3" t="s">
        <v>1855</v>
      </c>
      <c r="D299" s="3" t="s">
        <v>636</v>
      </c>
      <c r="E299" s="12" t="s">
        <v>1856</v>
      </c>
      <c r="F299" s="3" t="s">
        <v>638</v>
      </c>
      <c r="G299" s="3" t="s">
        <v>622</v>
      </c>
      <c r="H299" s="3" t="s">
        <v>639</v>
      </c>
      <c r="I299" s="10" t="n">
        <v>2</v>
      </c>
      <c r="J299" s="10"/>
      <c r="K299" s="3" t="s">
        <v>624</v>
      </c>
      <c r="L299" s="3" t="s">
        <v>1857</v>
      </c>
    </row>
    <row r="300" customFormat="false" ht="23.85" hidden="false" customHeight="false" outlineLevel="0" collapsed="false">
      <c r="A300" s="3" t="s">
        <v>1858</v>
      </c>
      <c r="B300" s="3" t="s">
        <v>559</v>
      </c>
      <c r="C300" s="3" t="s">
        <v>1859</v>
      </c>
      <c r="D300" s="3" t="s">
        <v>636</v>
      </c>
      <c r="E300" s="12" t="s">
        <v>1860</v>
      </c>
      <c r="F300" s="3" t="s">
        <v>638</v>
      </c>
      <c r="G300" s="3" t="s">
        <v>622</v>
      </c>
      <c r="H300" s="3" t="s">
        <v>639</v>
      </c>
      <c r="I300" s="10" t="n">
        <v>2</v>
      </c>
      <c r="J300" s="10"/>
      <c r="K300" s="3" t="s">
        <v>624</v>
      </c>
      <c r="L300" s="3" t="s">
        <v>1861</v>
      </c>
    </row>
    <row r="301" customFormat="false" ht="23.85" hidden="false" customHeight="false" outlineLevel="0" collapsed="false">
      <c r="A301" s="3" t="s">
        <v>1862</v>
      </c>
      <c r="B301" s="3" t="s">
        <v>559</v>
      </c>
      <c r="C301" s="3" t="s">
        <v>1863</v>
      </c>
      <c r="D301" s="3" t="s">
        <v>636</v>
      </c>
      <c r="E301" s="12" t="s">
        <v>1864</v>
      </c>
      <c r="F301" s="3" t="s">
        <v>638</v>
      </c>
      <c r="G301" s="3" t="s">
        <v>622</v>
      </c>
      <c r="H301" s="3" t="s">
        <v>639</v>
      </c>
      <c r="I301" s="10" t="n">
        <v>2</v>
      </c>
      <c r="J301" s="10"/>
      <c r="K301" s="3" t="s">
        <v>624</v>
      </c>
      <c r="L301" s="3" t="s">
        <v>1865</v>
      </c>
    </row>
    <row r="302" customFormat="false" ht="15" hidden="false" customHeight="false" outlineLevel="0" collapsed="false">
      <c r="A302" s="3" t="s">
        <v>1866</v>
      </c>
      <c r="B302" s="3" t="s">
        <v>559</v>
      </c>
      <c r="C302" s="3" t="s">
        <v>1867</v>
      </c>
      <c r="D302" s="3" t="s">
        <v>619</v>
      </c>
      <c r="E302" s="12" t="s">
        <v>1868</v>
      </c>
      <c r="F302" s="3" t="s">
        <v>621</v>
      </c>
      <c r="G302" s="3" t="s">
        <v>622</v>
      </c>
      <c r="H302" s="3" t="s">
        <v>623</v>
      </c>
      <c r="I302" s="10" t="n">
        <v>2</v>
      </c>
      <c r="J302" s="10"/>
      <c r="K302" s="3" t="s">
        <v>624</v>
      </c>
      <c r="L302" s="3" t="s">
        <v>1869</v>
      </c>
    </row>
    <row r="303" customFormat="false" ht="15" hidden="false" customHeight="false" outlineLevel="0" collapsed="false">
      <c r="A303" s="3" t="s">
        <v>1870</v>
      </c>
      <c r="B303" s="3" t="s">
        <v>559</v>
      </c>
      <c r="C303" s="3" t="s">
        <v>1871</v>
      </c>
      <c r="D303" s="3" t="s">
        <v>901</v>
      </c>
      <c r="E303" s="12" t="s">
        <v>1872</v>
      </c>
      <c r="F303" s="3" t="s">
        <v>638</v>
      </c>
      <c r="G303" s="3" t="s">
        <v>622</v>
      </c>
      <c r="H303" s="3" t="s">
        <v>639</v>
      </c>
      <c r="I303" s="10" t="n">
        <v>2</v>
      </c>
      <c r="J303" s="10"/>
      <c r="K303" s="3" t="s">
        <v>624</v>
      </c>
      <c r="L303" s="3" t="s">
        <v>1873</v>
      </c>
    </row>
    <row r="304" customFormat="false" ht="15" hidden="false" customHeight="false" outlineLevel="0" collapsed="false">
      <c r="A304" s="3" t="s">
        <v>1874</v>
      </c>
      <c r="B304" s="3" t="s">
        <v>559</v>
      </c>
      <c r="C304" s="3" t="s">
        <v>1875</v>
      </c>
      <c r="D304" s="3" t="s">
        <v>901</v>
      </c>
      <c r="E304" s="12" t="s">
        <v>1876</v>
      </c>
      <c r="F304" s="3" t="s">
        <v>638</v>
      </c>
      <c r="G304" s="3" t="s">
        <v>622</v>
      </c>
      <c r="H304" s="3" t="s">
        <v>639</v>
      </c>
      <c r="I304" s="10" t="n">
        <v>2</v>
      </c>
      <c r="J304" s="10"/>
      <c r="K304" s="3" t="s">
        <v>624</v>
      </c>
      <c r="L304" s="3" t="s">
        <v>1877</v>
      </c>
    </row>
    <row r="305" customFormat="false" ht="15" hidden="false" customHeight="false" outlineLevel="0" collapsed="false">
      <c r="A305" s="3" t="s">
        <v>1878</v>
      </c>
      <c r="B305" s="3" t="s">
        <v>559</v>
      </c>
      <c r="C305" s="3" t="s">
        <v>1879</v>
      </c>
      <c r="D305" s="3" t="s">
        <v>1880</v>
      </c>
      <c r="E305" s="12" t="s">
        <v>1881</v>
      </c>
      <c r="F305" s="3" t="s">
        <v>638</v>
      </c>
      <c r="G305" s="3" t="s">
        <v>622</v>
      </c>
      <c r="H305" s="3" t="s">
        <v>639</v>
      </c>
      <c r="I305" s="10" t="n">
        <v>2</v>
      </c>
      <c r="J305" s="10"/>
      <c r="K305" s="3" t="s">
        <v>624</v>
      </c>
      <c r="L305" s="3" t="s">
        <v>1882</v>
      </c>
    </row>
    <row r="306" customFormat="false" ht="23.85" hidden="false" customHeight="false" outlineLevel="0" collapsed="false">
      <c r="A306" s="3" t="s">
        <v>1883</v>
      </c>
      <c r="B306" s="3" t="s">
        <v>559</v>
      </c>
      <c r="C306" s="3" t="s">
        <v>1884</v>
      </c>
      <c r="D306" s="3" t="s">
        <v>636</v>
      </c>
      <c r="E306" s="3" t="s">
        <v>1885</v>
      </c>
      <c r="F306" s="3" t="s">
        <v>1442</v>
      </c>
      <c r="G306" s="3" t="s">
        <v>1886</v>
      </c>
      <c r="H306" s="3" t="s">
        <v>765</v>
      </c>
      <c r="I306" s="10" t="n">
        <v>2</v>
      </c>
      <c r="J306" s="10"/>
      <c r="K306" s="3" t="s">
        <v>1444</v>
      </c>
      <c r="L306" s="3" t="s">
        <v>1887</v>
      </c>
    </row>
    <row r="307" customFormat="false" ht="15" hidden="false" customHeight="false" outlineLevel="0" collapsed="false">
      <c r="A307" s="3" t="s">
        <v>1888</v>
      </c>
      <c r="B307" s="3" t="s">
        <v>559</v>
      </c>
      <c r="C307" s="3" t="s">
        <v>1889</v>
      </c>
      <c r="D307" s="3" t="s">
        <v>689</v>
      </c>
      <c r="E307" s="12" t="s">
        <v>1890</v>
      </c>
      <c r="F307" s="3" t="s">
        <v>638</v>
      </c>
      <c r="G307" s="3" t="s">
        <v>622</v>
      </c>
      <c r="H307" s="3" t="s">
        <v>639</v>
      </c>
      <c r="I307" s="10" t="n">
        <v>3</v>
      </c>
      <c r="J307" s="10"/>
      <c r="K307" s="3" t="s">
        <v>624</v>
      </c>
      <c r="L307" s="3" t="s">
        <v>1891</v>
      </c>
    </row>
    <row r="308" customFormat="false" ht="23.85" hidden="false" customHeight="false" outlineLevel="0" collapsed="false">
      <c r="A308" s="7" t="s">
        <v>1892</v>
      </c>
      <c r="B308" s="7" t="s">
        <v>564</v>
      </c>
      <c r="C308" s="7" t="s">
        <v>1893</v>
      </c>
      <c r="D308" s="7" t="s">
        <v>1205</v>
      </c>
      <c r="E308" s="12" t="s">
        <v>1894</v>
      </c>
      <c r="F308" s="3" t="s">
        <v>638</v>
      </c>
      <c r="G308" s="3" t="s">
        <v>622</v>
      </c>
      <c r="H308" s="3" t="s">
        <v>639</v>
      </c>
      <c r="I308" s="10" t="n">
        <v>1</v>
      </c>
      <c r="J308" s="10" t="n">
        <v>1</v>
      </c>
      <c r="K308" s="3" t="s">
        <v>624</v>
      </c>
      <c r="L308" s="3" t="s">
        <v>1895</v>
      </c>
    </row>
    <row r="309" customFormat="false" ht="23.85" hidden="false" customHeight="false" outlineLevel="0" collapsed="false">
      <c r="A309" s="7" t="s">
        <v>1896</v>
      </c>
      <c r="B309" s="7" t="s">
        <v>564</v>
      </c>
      <c r="C309" s="7" t="s">
        <v>1897</v>
      </c>
      <c r="D309" s="7" t="s">
        <v>901</v>
      </c>
      <c r="E309" s="12" t="s">
        <v>1898</v>
      </c>
      <c r="F309" s="3" t="s">
        <v>638</v>
      </c>
      <c r="G309" s="3" t="s">
        <v>622</v>
      </c>
      <c r="H309" s="3" t="s">
        <v>639</v>
      </c>
      <c r="I309" s="10" t="n">
        <v>1</v>
      </c>
      <c r="J309" s="10" t="n">
        <v>2</v>
      </c>
      <c r="K309" s="3" t="s">
        <v>624</v>
      </c>
      <c r="L309" s="3" t="s">
        <v>1899</v>
      </c>
    </row>
    <row r="310" customFormat="false" ht="23.85" hidden="false" customHeight="false" outlineLevel="0" collapsed="false">
      <c r="A310" s="7" t="s">
        <v>1900</v>
      </c>
      <c r="B310" s="7" t="s">
        <v>564</v>
      </c>
      <c r="C310" s="7" t="s">
        <v>1901</v>
      </c>
      <c r="D310" s="7" t="s">
        <v>1205</v>
      </c>
      <c r="E310" s="12" t="s">
        <v>1902</v>
      </c>
      <c r="F310" s="3" t="s">
        <v>638</v>
      </c>
      <c r="G310" s="3" t="s">
        <v>622</v>
      </c>
      <c r="H310" s="3" t="s">
        <v>639</v>
      </c>
      <c r="I310" s="10" t="n">
        <v>2</v>
      </c>
      <c r="J310" s="10" t="n">
        <v>3</v>
      </c>
      <c r="K310" s="3" t="s">
        <v>624</v>
      </c>
      <c r="L310" s="3" t="s">
        <v>1903</v>
      </c>
    </row>
    <row r="311" customFormat="false" ht="23.85" hidden="false" customHeight="false" outlineLevel="0" collapsed="false">
      <c r="A311" s="3" t="s">
        <v>1904</v>
      </c>
      <c r="B311" s="3" t="s">
        <v>564</v>
      </c>
      <c r="C311" s="3" t="s">
        <v>1905</v>
      </c>
      <c r="D311" s="3" t="s">
        <v>1205</v>
      </c>
      <c r="E311" s="12" t="s">
        <v>1906</v>
      </c>
      <c r="F311" s="3" t="s">
        <v>638</v>
      </c>
      <c r="G311" s="3" t="s">
        <v>622</v>
      </c>
      <c r="H311" s="3" t="s">
        <v>639</v>
      </c>
      <c r="I311" s="10" t="n">
        <v>2</v>
      </c>
      <c r="J311" s="10"/>
      <c r="K311" s="3" t="s">
        <v>624</v>
      </c>
      <c r="L311" s="3" t="s">
        <v>1907</v>
      </c>
    </row>
    <row r="312" customFormat="false" ht="23.85" hidden="false" customHeight="false" outlineLevel="0" collapsed="false">
      <c r="A312" s="3" t="s">
        <v>1908</v>
      </c>
      <c r="B312" s="3" t="s">
        <v>564</v>
      </c>
      <c r="C312" s="3" t="s">
        <v>1909</v>
      </c>
      <c r="D312" s="3" t="s">
        <v>636</v>
      </c>
      <c r="E312" s="3" t="s">
        <v>1910</v>
      </c>
      <c r="F312" s="3" t="s">
        <v>1442</v>
      </c>
      <c r="G312" s="3" t="s">
        <v>1886</v>
      </c>
      <c r="H312" s="3" t="s">
        <v>765</v>
      </c>
      <c r="I312" s="10" t="n">
        <v>2</v>
      </c>
      <c r="J312" s="10"/>
      <c r="K312" s="3" t="s">
        <v>1444</v>
      </c>
      <c r="L312" s="3" t="s">
        <v>1911</v>
      </c>
    </row>
    <row r="313" customFormat="false" ht="23.85" hidden="false" customHeight="false" outlineLevel="0" collapsed="false">
      <c r="A313" s="3" t="s">
        <v>1912</v>
      </c>
      <c r="B313" s="3" t="s">
        <v>564</v>
      </c>
      <c r="C313" s="3" t="s">
        <v>1913</v>
      </c>
      <c r="D313" s="3" t="s">
        <v>689</v>
      </c>
      <c r="E313" s="12" t="s">
        <v>1914</v>
      </c>
      <c r="F313" s="3" t="s">
        <v>638</v>
      </c>
      <c r="G313" s="3" t="s">
        <v>622</v>
      </c>
      <c r="H313" s="3" t="s">
        <v>639</v>
      </c>
      <c r="I313" s="10" t="n">
        <v>3</v>
      </c>
      <c r="J313" s="10"/>
      <c r="K313" s="3" t="s">
        <v>624</v>
      </c>
      <c r="L313" s="3" t="s">
        <v>1915</v>
      </c>
    </row>
    <row r="314" customFormat="false" ht="23.85" hidden="false" customHeight="false" outlineLevel="0" collapsed="false">
      <c r="A314" s="3" t="s">
        <v>1916</v>
      </c>
      <c r="B314" s="3" t="s">
        <v>564</v>
      </c>
      <c r="C314" s="3" t="s">
        <v>1917</v>
      </c>
      <c r="D314" s="3" t="s">
        <v>1918</v>
      </c>
      <c r="E314" s="12" t="s">
        <v>1919</v>
      </c>
      <c r="F314" s="3" t="s">
        <v>638</v>
      </c>
      <c r="G314" s="3" t="s">
        <v>622</v>
      </c>
      <c r="H314" s="3" t="s">
        <v>639</v>
      </c>
      <c r="I314" s="10" t="n">
        <v>3</v>
      </c>
      <c r="J314" s="10"/>
      <c r="K314" s="3" t="s">
        <v>624</v>
      </c>
      <c r="L314" s="3" t="s">
        <v>1920</v>
      </c>
    </row>
    <row r="315" customFormat="false" ht="35.05" hidden="false" customHeight="false" outlineLevel="0" collapsed="false">
      <c r="A315" s="7" t="s">
        <v>1921</v>
      </c>
      <c r="B315" s="7" t="s">
        <v>109</v>
      </c>
      <c r="C315" s="7" t="s">
        <v>1922</v>
      </c>
      <c r="D315" s="7" t="s">
        <v>628</v>
      </c>
      <c r="E315" s="12" t="s">
        <v>1923</v>
      </c>
      <c r="F315" s="3" t="s">
        <v>630</v>
      </c>
      <c r="G315" s="3" t="s">
        <v>622</v>
      </c>
      <c r="H315" s="3" t="s">
        <v>631</v>
      </c>
      <c r="I315" s="10" t="n">
        <v>1</v>
      </c>
      <c r="J315" s="10" t="n">
        <v>1</v>
      </c>
      <c r="K315" s="3" t="s">
        <v>624</v>
      </c>
      <c r="L315" s="3" t="s">
        <v>1924</v>
      </c>
    </row>
    <row r="316" customFormat="false" ht="23.85" hidden="false" customHeight="false" outlineLevel="0" collapsed="false">
      <c r="A316" s="7" t="s">
        <v>1925</v>
      </c>
      <c r="B316" s="7" t="s">
        <v>109</v>
      </c>
      <c r="C316" s="7" t="s">
        <v>1926</v>
      </c>
      <c r="D316" s="7" t="s">
        <v>1414</v>
      </c>
      <c r="E316" s="12" t="s">
        <v>1927</v>
      </c>
      <c r="F316" s="3" t="s">
        <v>934</v>
      </c>
      <c r="G316" s="3" t="s">
        <v>622</v>
      </c>
      <c r="H316" s="3" t="s">
        <v>1928</v>
      </c>
      <c r="I316" s="10" t="n">
        <v>1</v>
      </c>
      <c r="J316" s="10" t="n">
        <v>2</v>
      </c>
      <c r="K316" s="3" t="s">
        <v>632</v>
      </c>
      <c r="L316" s="3" t="s">
        <v>1929</v>
      </c>
    </row>
    <row r="317" customFormat="false" ht="23.85" hidden="false" customHeight="false" outlineLevel="0" collapsed="false">
      <c r="A317" s="7" t="s">
        <v>1930</v>
      </c>
      <c r="B317" s="7" t="s">
        <v>109</v>
      </c>
      <c r="C317" s="7" t="s">
        <v>244</v>
      </c>
      <c r="D317" s="7" t="s">
        <v>636</v>
      </c>
      <c r="E317" s="12" t="s">
        <v>1931</v>
      </c>
      <c r="F317" s="3" t="s">
        <v>638</v>
      </c>
      <c r="G317" s="3" t="s">
        <v>622</v>
      </c>
      <c r="H317" s="3" t="s">
        <v>639</v>
      </c>
      <c r="I317" s="10" t="n">
        <v>1</v>
      </c>
      <c r="J317" s="10" t="n">
        <v>3</v>
      </c>
      <c r="K317" s="3" t="s">
        <v>624</v>
      </c>
      <c r="L317" s="3" t="s">
        <v>1932</v>
      </c>
    </row>
    <row r="318" customFormat="false" ht="23.85" hidden="false" customHeight="false" outlineLevel="0" collapsed="false">
      <c r="A318" s="3" t="s">
        <v>1933</v>
      </c>
      <c r="B318" s="3" t="s">
        <v>109</v>
      </c>
      <c r="C318" s="3" t="s">
        <v>1934</v>
      </c>
      <c r="D318" s="3" t="s">
        <v>636</v>
      </c>
      <c r="E318" s="12" t="s">
        <v>1935</v>
      </c>
      <c r="F318" s="3" t="s">
        <v>638</v>
      </c>
      <c r="G318" s="3" t="s">
        <v>622</v>
      </c>
      <c r="H318" s="3" t="s">
        <v>639</v>
      </c>
      <c r="I318" s="10" t="n">
        <v>2</v>
      </c>
      <c r="J318" s="10"/>
      <c r="K318" s="3" t="s">
        <v>624</v>
      </c>
      <c r="L318" s="3" t="s">
        <v>1936</v>
      </c>
    </row>
    <row r="319" customFormat="false" ht="23.85" hidden="false" customHeight="false" outlineLevel="0" collapsed="false">
      <c r="A319" s="7" t="s">
        <v>1937</v>
      </c>
      <c r="B319" s="7" t="s">
        <v>115</v>
      </c>
      <c r="C319" s="7" t="s">
        <v>1938</v>
      </c>
      <c r="D319" s="7" t="s">
        <v>1880</v>
      </c>
      <c r="E319" s="12" t="s">
        <v>1939</v>
      </c>
      <c r="F319" s="3" t="s">
        <v>638</v>
      </c>
      <c r="G319" s="3" t="s">
        <v>622</v>
      </c>
      <c r="H319" s="3" t="s">
        <v>639</v>
      </c>
      <c r="I319" s="10" t="n">
        <v>1</v>
      </c>
      <c r="J319" s="10" t="n">
        <v>1</v>
      </c>
      <c r="K319" s="3" t="s">
        <v>624</v>
      </c>
      <c r="L319" s="3" t="s">
        <v>1940</v>
      </c>
    </row>
    <row r="320" customFormat="false" ht="23.85" hidden="false" customHeight="false" outlineLevel="0" collapsed="false">
      <c r="A320" s="7" t="s">
        <v>1941</v>
      </c>
      <c r="B320" s="7" t="s">
        <v>115</v>
      </c>
      <c r="C320" s="7" t="s">
        <v>1942</v>
      </c>
      <c r="D320" s="7" t="s">
        <v>1880</v>
      </c>
      <c r="E320" s="12" t="s">
        <v>1943</v>
      </c>
      <c r="F320" s="3" t="s">
        <v>638</v>
      </c>
      <c r="G320" s="3" t="s">
        <v>622</v>
      </c>
      <c r="H320" s="3" t="s">
        <v>639</v>
      </c>
      <c r="I320" s="10" t="n">
        <v>1</v>
      </c>
      <c r="J320" s="10" t="n">
        <v>2</v>
      </c>
      <c r="K320" s="3" t="s">
        <v>624</v>
      </c>
      <c r="L320" s="3" t="s">
        <v>1944</v>
      </c>
    </row>
    <row r="321" customFormat="false" ht="23.85" hidden="false" customHeight="false" outlineLevel="0" collapsed="false">
      <c r="A321" s="7" t="s">
        <v>1945</v>
      </c>
      <c r="B321" s="7" t="s">
        <v>115</v>
      </c>
      <c r="C321" s="7" t="s">
        <v>1946</v>
      </c>
      <c r="D321" s="7" t="s">
        <v>1880</v>
      </c>
      <c r="E321" s="12" t="s">
        <v>1947</v>
      </c>
      <c r="F321" s="3" t="s">
        <v>638</v>
      </c>
      <c r="G321" s="3" t="s">
        <v>622</v>
      </c>
      <c r="H321" s="3" t="s">
        <v>639</v>
      </c>
      <c r="I321" s="10" t="n">
        <v>2</v>
      </c>
      <c r="J321" s="10" t="n">
        <v>3</v>
      </c>
      <c r="K321" s="3" t="s">
        <v>624</v>
      </c>
      <c r="L321" s="3" t="s">
        <v>1948</v>
      </c>
    </row>
    <row r="322" customFormat="false" ht="23.85" hidden="false" customHeight="false" outlineLevel="0" collapsed="false">
      <c r="A322" s="3" t="s">
        <v>1949</v>
      </c>
      <c r="B322" s="3" t="s">
        <v>115</v>
      </c>
      <c r="C322" s="3" t="s">
        <v>1950</v>
      </c>
      <c r="D322" s="3" t="s">
        <v>1918</v>
      </c>
      <c r="E322" s="12" t="s">
        <v>1951</v>
      </c>
      <c r="F322" s="3" t="s">
        <v>638</v>
      </c>
      <c r="G322" s="3" t="s">
        <v>622</v>
      </c>
      <c r="H322" s="3" t="s">
        <v>639</v>
      </c>
      <c r="I322" s="10" t="n">
        <v>3</v>
      </c>
      <c r="J322" s="10"/>
      <c r="K322" s="3" t="s">
        <v>624</v>
      </c>
      <c r="L322" s="3" t="s">
        <v>1952</v>
      </c>
    </row>
    <row r="323" customFormat="false" ht="15" hidden="false" customHeight="false" outlineLevel="0" collapsed="false">
      <c r="A323" s="7" t="s">
        <v>1953</v>
      </c>
      <c r="B323" s="7" t="s">
        <v>121</v>
      </c>
      <c r="C323" s="7" t="s">
        <v>1954</v>
      </c>
      <c r="D323" s="7" t="s">
        <v>991</v>
      </c>
      <c r="E323" s="12" t="s">
        <v>1955</v>
      </c>
      <c r="F323" s="3" t="s">
        <v>630</v>
      </c>
      <c r="G323" s="3" t="s">
        <v>622</v>
      </c>
      <c r="H323" s="3" t="s">
        <v>631</v>
      </c>
      <c r="I323" s="10" t="n">
        <v>1</v>
      </c>
      <c r="J323" s="10" t="n">
        <v>1</v>
      </c>
      <c r="K323" s="3" t="s">
        <v>624</v>
      </c>
      <c r="L323" s="3" t="s">
        <v>1956</v>
      </c>
    </row>
    <row r="324" customFormat="false" ht="23.85" hidden="false" customHeight="false" outlineLevel="0" collapsed="false">
      <c r="A324" s="7" t="s">
        <v>1957</v>
      </c>
      <c r="B324" s="7" t="s">
        <v>121</v>
      </c>
      <c r="C324" s="7" t="s">
        <v>123</v>
      </c>
      <c r="D324" s="7" t="s">
        <v>675</v>
      </c>
      <c r="E324" s="12" t="s">
        <v>1958</v>
      </c>
      <c r="F324" s="3" t="s">
        <v>638</v>
      </c>
      <c r="G324" s="3" t="s">
        <v>622</v>
      </c>
      <c r="H324" s="3" t="s">
        <v>639</v>
      </c>
      <c r="I324" s="10" t="n">
        <v>1</v>
      </c>
      <c r="J324" s="10" t="n">
        <v>2</v>
      </c>
      <c r="K324" s="3" t="s">
        <v>624</v>
      </c>
      <c r="L324" s="3" t="s">
        <v>1959</v>
      </c>
    </row>
    <row r="325" customFormat="false" ht="15" hidden="false" customHeight="false" outlineLevel="0" collapsed="false">
      <c r="A325" s="7" t="s">
        <v>1960</v>
      </c>
      <c r="B325" s="7" t="s">
        <v>121</v>
      </c>
      <c r="C325" s="7" t="s">
        <v>1961</v>
      </c>
      <c r="D325" s="7" t="s">
        <v>901</v>
      </c>
      <c r="E325" s="12" t="s">
        <v>1962</v>
      </c>
      <c r="F325" s="3" t="s">
        <v>638</v>
      </c>
      <c r="G325" s="3" t="s">
        <v>622</v>
      </c>
      <c r="H325" s="3" t="s">
        <v>639</v>
      </c>
      <c r="I325" s="10" t="n">
        <v>2</v>
      </c>
      <c r="J325" s="10" t="n">
        <v>3</v>
      </c>
      <c r="K325" s="3" t="s">
        <v>624</v>
      </c>
      <c r="L325" s="3" t="s">
        <v>1963</v>
      </c>
    </row>
    <row r="326" customFormat="false" ht="15" hidden="false" customHeight="false" outlineLevel="0" collapsed="false">
      <c r="A326" s="3" t="s">
        <v>1964</v>
      </c>
      <c r="B326" s="3" t="s">
        <v>121</v>
      </c>
      <c r="C326" s="3" t="s">
        <v>1965</v>
      </c>
      <c r="D326" s="3" t="s">
        <v>689</v>
      </c>
      <c r="E326" s="12" t="s">
        <v>1966</v>
      </c>
      <c r="F326" s="3" t="s">
        <v>638</v>
      </c>
      <c r="G326" s="3" t="s">
        <v>622</v>
      </c>
      <c r="H326" s="3" t="s">
        <v>639</v>
      </c>
      <c r="I326" s="10" t="n">
        <v>3</v>
      </c>
      <c r="J326" s="10"/>
      <c r="K326" s="3" t="s">
        <v>624</v>
      </c>
      <c r="L326" s="3" t="s">
        <v>1967</v>
      </c>
    </row>
    <row r="327" customFormat="false" ht="23.85" hidden="false" customHeight="false" outlineLevel="0" collapsed="false">
      <c r="A327" s="7" t="s">
        <v>1968</v>
      </c>
      <c r="B327" s="7" t="s">
        <v>571</v>
      </c>
      <c r="C327" s="7" t="s">
        <v>1969</v>
      </c>
      <c r="D327" s="7" t="s">
        <v>1880</v>
      </c>
      <c r="E327" s="12" t="s">
        <v>1970</v>
      </c>
      <c r="F327" s="3" t="s">
        <v>638</v>
      </c>
      <c r="G327" s="3" t="s">
        <v>622</v>
      </c>
      <c r="H327" s="3" t="s">
        <v>639</v>
      </c>
      <c r="I327" s="10" t="n">
        <v>1</v>
      </c>
      <c r="J327" s="10" t="n">
        <v>1</v>
      </c>
      <c r="K327" s="3" t="s">
        <v>624</v>
      </c>
      <c r="L327" s="3" t="s">
        <v>1971</v>
      </c>
    </row>
    <row r="328" customFormat="false" ht="15" hidden="false" customHeight="false" outlineLevel="0" collapsed="false">
      <c r="A328" s="7" t="s">
        <v>1972</v>
      </c>
      <c r="B328" s="7" t="s">
        <v>571</v>
      </c>
      <c r="C328" s="7" t="s">
        <v>1973</v>
      </c>
      <c r="D328" s="7" t="s">
        <v>1880</v>
      </c>
      <c r="E328" s="12" t="s">
        <v>1974</v>
      </c>
      <c r="F328" s="3" t="s">
        <v>638</v>
      </c>
      <c r="G328" s="3" t="s">
        <v>622</v>
      </c>
      <c r="H328" s="3" t="s">
        <v>639</v>
      </c>
      <c r="I328" s="10" t="n">
        <v>1</v>
      </c>
      <c r="J328" s="10" t="n">
        <v>2</v>
      </c>
      <c r="K328" s="3" t="s">
        <v>624</v>
      </c>
      <c r="L328" s="3" t="s">
        <v>1975</v>
      </c>
    </row>
    <row r="329" customFormat="false" ht="23.85" hidden="false" customHeight="false" outlineLevel="0" collapsed="false">
      <c r="A329" s="7" t="s">
        <v>1976</v>
      </c>
      <c r="B329" s="7" t="s">
        <v>571</v>
      </c>
      <c r="C329" s="7" t="s">
        <v>1977</v>
      </c>
      <c r="D329" s="7" t="s">
        <v>1918</v>
      </c>
      <c r="E329" s="12" t="s">
        <v>1978</v>
      </c>
      <c r="F329" s="3" t="s">
        <v>638</v>
      </c>
      <c r="G329" s="3" t="s">
        <v>622</v>
      </c>
      <c r="H329" s="3" t="s">
        <v>639</v>
      </c>
      <c r="I329" s="10" t="n">
        <v>2</v>
      </c>
      <c r="J329" s="10" t="n">
        <v>3</v>
      </c>
      <c r="K329" s="3" t="s">
        <v>624</v>
      </c>
      <c r="L329" s="3" t="s">
        <v>1979</v>
      </c>
    </row>
    <row r="330" customFormat="false" ht="23.85" hidden="false" customHeight="false" outlineLevel="0" collapsed="false">
      <c r="A330" s="7" t="s">
        <v>1980</v>
      </c>
      <c r="B330" s="7" t="s">
        <v>572</v>
      </c>
      <c r="C330" s="7" t="s">
        <v>1981</v>
      </c>
      <c r="D330" s="7" t="s">
        <v>1982</v>
      </c>
      <c r="E330" s="3" t="s">
        <v>1983</v>
      </c>
      <c r="F330" s="3" t="s">
        <v>1984</v>
      </c>
      <c r="G330" s="3" t="s">
        <v>622</v>
      </c>
      <c r="H330" s="3" t="s">
        <v>765</v>
      </c>
      <c r="I330" s="10" t="n">
        <v>1</v>
      </c>
      <c r="J330" s="10" t="n">
        <v>1</v>
      </c>
      <c r="K330" s="3" t="s">
        <v>1985</v>
      </c>
      <c r="L330" s="3" t="s">
        <v>1986</v>
      </c>
    </row>
    <row r="331" customFormat="false" ht="23.85" hidden="false" customHeight="false" outlineLevel="0" collapsed="false">
      <c r="A331" s="7" t="s">
        <v>1987</v>
      </c>
      <c r="B331" s="7" t="s">
        <v>572</v>
      </c>
      <c r="C331" s="7" t="s">
        <v>1988</v>
      </c>
      <c r="D331" s="7" t="s">
        <v>1918</v>
      </c>
      <c r="E331" s="12" t="s">
        <v>1989</v>
      </c>
      <c r="F331" s="3" t="s">
        <v>638</v>
      </c>
      <c r="G331" s="3" t="s">
        <v>622</v>
      </c>
      <c r="H331" s="3" t="s">
        <v>639</v>
      </c>
      <c r="I331" s="10" t="n">
        <v>1</v>
      </c>
      <c r="J331" s="10" t="n">
        <v>2</v>
      </c>
      <c r="K331" s="3" t="s">
        <v>624</v>
      </c>
      <c r="L331" s="3" t="s">
        <v>1990</v>
      </c>
    </row>
    <row r="332" customFormat="false" ht="23.85" hidden="false" customHeight="false" outlineLevel="0" collapsed="false">
      <c r="A332" s="7" t="s">
        <v>1991</v>
      </c>
      <c r="B332" s="7" t="s">
        <v>572</v>
      </c>
      <c r="C332" s="7" t="s">
        <v>1992</v>
      </c>
      <c r="D332" s="7" t="s">
        <v>1918</v>
      </c>
      <c r="E332" s="12" t="s">
        <v>1993</v>
      </c>
      <c r="F332" s="3" t="s">
        <v>638</v>
      </c>
      <c r="G332" s="3" t="s">
        <v>622</v>
      </c>
      <c r="H332" s="3" t="s">
        <v>639</v>
      </c>
      <c r="I332" s="10" t="n">
        <v>2</v>
      </c>
      <c r="J332" s="10" t="n">
        <v>3</v>
      </c>
      <c r="K332" s="3" t="s">
        <v>624</v>
      </c>
      <c r="L332" s="3" t="s">
        <v>1994</v>
      </c>
    </row>
    <row r="333" customFormat="false" ht="35.05" hidden="false" customHeight="false" outlineLevel="0" collapsed="false">
      <c r="A333" s="7" t="s">
        <v>1995</v>
      </c>
      <c r="B333" s="7" t="s">
        <v>574</v>
      </c>
      <c r="C333" s="7" t="s">
        <v>1996</v>
      </c>
      <c r="D333" s="7" t="s">
        <v>901</v>
      </c>
      <c r="E333" s="12" t="s">
        <v>1997</v>
      </c>
      <c r="F333" s="3" t="s">
        <v>630</v>
      </c>
      <c r="G333" s="3" t="s">
        <v>622</v>
      </c>
      <c r="H333" s="3" t="s">
        <v>631</v>
      </c>
      <c r="I333" s="10" t="n">
        <v>1</v>
      </c>
      <c r="J333" s="10" t="n">
        <v>1</v>
      </c>
      <c r="K333" s="3" t="s">
        <v>695</v>
      </c>
      <c r="L333" s="3" t="s">
        <v>1998</v>
      </c>
    </row>
    <row r="334" customFormat="false" ht="23.85" hidden="false" customHeight="false" outlineLevel="0" collapsed="false">
      <c r="A334" s="7" t="s">
        <v>1999</v>
      </c>
      <c r="B334" s="7" t="s">
        <v>576</v>
      </c>
      <c r="C334" s="7" t="s">
        <v>2000</v>
      </c>
      <c r="D334" s="7" t="s">
        <v>619</v>
      </c>
      <c r="E334" s="12" t="s">
        <v>2001</v>
      </c>
      <c r="F334" s="3" t="s">
        <v>621</v>
      </c>
      <c r="G334" s="3" t="s">
        <v>622</v>
      </c>
      <c r="H334" s="3" t="s">
        <v>623</v>
      </c>
      <c r="I334" s="10" t="n">
        <v>3</v>
      </c>
      <c r="J334" s="10" t="n">
        <v>1</v>
      </c>
      <c r="K334" s="3" t="s">
        <v>624</v>
      </c>
      <c r="L334" s="3" t="s">
        <v>2002</v>
      </c>
    </row>
    <row r="335" customFormat="false" ht="23.85" hidden="false" customHeight="false" outlineLevel="0" collapsed="false">
      <c r="A335" s="7" t="s">
        <v>2003</v>
      </c>
      <c r="B335" s="7" t="s">
        <v>577</v>
      </c>
      <c r="C335" s="7" t="s">
        <v>2004</v>
      </c>
      <c r="D335" s="7" t="s">
        <v>714</v>
      </c>
      <c r="E335" s="12" t="s">
        <v>2005</v>
      </c>
      <c r="F335" s="3" t="s">
        <v>716</v>
      </c>
      <c r="G335" s="3" t="s">
        <v>622</v>
      </c>
      <c r="H335" s="3" t="s">
        <v>717</v>
      </c>
      <c r="I335" s="10" t="n">
        <v>1</v>
      </c>
      <c r="J335" s="10" t="n">
        <v>1</v>
      </c>
      <c r="K335" s="3" t="s">
        <v>624</v>
      </c>
      <c r="L335" s="3" t="s">
        <v>2006</v>
      </c>
    </row>
    <row r="336" customFormat="false" ht="35.05" hidden="false" customHeight="false" outlineLevel="0" collapsed="false">
      <c r="A336" s="7" t="s">
        <v>2007</v>
      </c>
      <c r="B336" s="7" t="s">
        <v>577</v>
      </c>
      <c r="C336" s="7" t="s">
        <v>2008</v>
      </c>
      <c r="D336" s="7" t="s">
        <v>714</v>
      </c>
      <c r="E336" s="12" t="s">
        <v>2009</v>
      </c>
      <c r="F336" s="3" t="s">
        <v>716</v>
      </c>
      <c r="G336" s="3" t="s">
        <v>2010</v>
      </c>
      <c r="H336" s="3" t="s">
        <v>765</v>
      </c>
      <c r="I336" s="10" t="n">
        <v>1</v>
      </c>
      <c r="J336" s="10" t="n">
        <v>2</v>
      </c>
      <c r="K336" s="3" t="s">
        <v>624</v>
      </c>
      <c r="L336" s="3" t="s">
        <v>2011</v>
      </c>
    </row>
    <row r="337" customFormat="false" ht="23.85" hidden="false" customHeight="false" outlineLevel="0" collapsed="false">
      <c r="A337" s="7" t="s">
        <v>2012</v>
      </c>
      <c r="B337" s="7" t="s">
        <v>577</v>
      </c>
      <c r="C337" s="7" t="s">
        <v>2013</v>
      </c>
      <c r="D337" s="7" t="s">
        <v>2014</v>
      </c>
      <c r="E337" s="12" t="s">
        <v>2015</v>
      </c>
      <c r="F337" s="3" t="s">
        <v>638</v>
      </c>
      <c r="G337" s="3" t="s">
        <v>622</v>
      </c>
      <c r="H337" s="3" t="s">
        <v>639</v>
      </c>
      <c r="I337" s="10" t="n">
        <v>1</v>
      </c>
      <c r="J337" s="10" t="n">
        <v>3</v>
      </c>
      <c r="K337" s="3" t="s">
        <v>624</v>
      </c>
      <c r="L337" s="3" t="s">
        <v>2016</v>
      </c>
    </row>
    <row r="338" customFormat="false" ht="35.05" hidden="false" customHeight="false" outlineLevel="0" collapsed="false">
      <c r="A338" s="3" t="s">
        <v>2017</v>
      </c>
      <c r="B338" s="3" t="s">
        <v>577</v>
      </c>
      <c r="C338" s="3" t="s">
        <v>2018</v>
      </c>
      <c r="D338" s="3" t="s">
        <v>714</v>
      </c>
      <c r="E338" s="12" t="s">
        <v>2019</v>
      </c>
      <c r="F338" s="3" t="s">
        <v>716</v>
      </c>
      <c r="G338" s="3" t="s">
        <v>1549</v>
      </c>
      <c r="H338" s="3" t="s">
        <v>765</v>
      </c>
      <c r="I338" s="10" t="n">
        <v>1</v>
      </c>
      <c r="J338" s="10"/>
      <c r="K338" s="3" t="s">
        <v>624</v>
      </c>
      <c r="L338" s="3" t="s">
        <v>2020</v>
      </c>
    </row>
    <row r="339" customFormat="false" ht="23.85" hidden="false" customHeight="false" outlineLevel="0" collapsed="false">
      <c r="A339" s="3" t="s">
        <v>2021</v>
      </c>
      <c r="B339" s="3" t="s">
        <v>577</v>
      </c>
      <c r="C339" s="3" t="s">
        <v>2022</v>
      </c>
      <c r="D339" s="3" t="s">
        <v>2014</v>
      </c>
      <c r="E339" s="12" t="s">
        <v>2023</v>
      </c>
      <c r="F339" s="3" t="s">
        <v>638</v>
      </c>
      <c r="G339" s="3" t="s">
        <v>622</v>
      </c>
      <c r="H339" s="3" t="s">
        <v>639</v>
      </c>
      <c r="I339" s="10" t="n">
        <v>2</v>
      </c>
      <c r="J339" s="10"/>
      <c r="K339" s="3" t="s">
        <v>624</v>
      </c>
      <c r="L339" s="3" t="s">
        <v>2024</v>
      </c>
    </row>
    <row r="340" customFormat="false" ht="23.85" hidden="false" customHeight="false" outlineLevel="0" collapsed="false">
      <c r="A340" s="3" t="s">
        <v>2025</v>
      </c>
      <c r="B340" s="3" t="s">
        <v>577</v>
      </c>
      <c r="C340" s="3" t="s">
        <v>2026</v>
      </c>
      <c r="D340" s="3" t="s">
        <v>714</v>
      </c>
      <c r="E340" s="12" t="s">
        <v>2027</v>
      </c>
      <c r="F340" s="3" t="s">
        <v>716</v>
      </c>
      <c r="G340" s="3" t="s">
        <v>1429</v>
      </c>
      <c r="H340" s="3" t="s">
        <v>765</v>
      </c>
      <c r="I340" s="10" t="n">
        <v>3</v>
      </c>
      <c r="J340" s="10"/>
      <c r="K340" s="3" t="s">
        <v>624</v>
      </c>
      <c r="L340" s="3" t="s">
        <v>2028</v>
      </c>
    </row>
    <row r="341" customFormat="false" ht="23.85" hidden="false" customHeight="false" outlineLevel="0" collapsed="false">
      <c r="A341" s="3" t="s">
        <v>2029</v>
      </c>
      <c r="B341" s="3" t="s">
        <v>577</v>
      </c>
      <c r="C341" s="3" t="s">
        <v>2030</v>
      </c>
      <c r="D341" s="3" t="s">
        <v>1918</v>
      </c>
      <c r="E341" s="12" t="s">
        <v>2031</v>
      </c>
      <c r="F341" s="3" t="s">
        <v>638</v>
      </c>
      <c r="G341" s="3" t="s">
        <v>622</v>
      </c>
      <c r="H341" s="3" t="s">
        <v>639</v>
      </c>
      <c r="I341" s="10" t="n">
        <v>3</v>
      </c>
      <c r="J341" s="10"/>
      <c r="K341" s="3" t="s">
        <v>624</v>
      </c>
      <c r="L341" s="3" t="s">
        <v>2032</v>
      </c>
    </row>
    <row r="342" customFormat="false" ht="23.85" hidden="false" customHeight="false" outlineLevel="0" collapsed="false">
      <c r="A342" s="3" t="s">
        <v>2033</v>
      </c>
      <c r="B342" s="3" t="s">
        <v>577</v>
      </c>
      <c r="C342" s="3" t="s">
        <v>2034</v>
      </c>
      <c r="D342" s="3" t="s">
        <v>714</v>
      </c>
      <c r="E342" s="12" t="s">
        <v>2035</v>
      </c>
      <c r="F342" s="3" t="s">
        <v>716</v>
      </c>
      <c r="G342" s="3" t="s">
        <v>622</v>
      </c>
      <c r="H342" s="3" t="s">
        <v>717</v>
      </c>
      <c r="I342" s="10" t="n">
        <v>3</v>
      </c>
      <c r="J342" s="10"/>
      <c r="K342" s="3" t="s">
        <v>624</v>
      </c>
      <c r="L342" s="3" t="s">
        <v>2036</v>
      </c>
    </row>
    <row r="343" customFormat="false" ht="23.85" hidden="false" customHeight="false" outlineLevel="0" collapsed="false">
      <c r="A343" s="3" t="s">
        <v>2037</v>
      </c>
      <c r="B343" s="3" t="s">
        <v>577</v>
      </c>
      <c r="C343" s="3" t="s">
        <v>2038</v>
      </c>
      <c r="D343" s="3" t="s">
        <v>714</v>
      </c>
      <c r="E343" s="12" t="s">
        <v>2039</v>
      </c>
      <c r="F343" s="3" t="s">
        <v>716</v>
      </c>
      <c r="G343" s="3" t="s">
        <v>622</v>
      </c>
      <c r="H343" s="3" t="s">
        <v>717</v>
      </c>
      <c r="I343" s="10" t="n">
        <v>3</v>
      </c>
      <c r="J343" s="10"/>
      <c r="K343" s="3" t="s">
        <v>624</v>
      </c>
      <c r="L343" s="3" t="s">
        <v>2040</v>
      </c>
    </row>
    <row r="344" customFormat="false" ht="35.05" hidden="false" customHeight="false" outlineLevel="0" collapsed="false">
      <c r="A344" s="7" t="s">
        <v>2041</v>
      </c>
      <c r="B344" s="7" t="s">
        <v>164</v>
      </c>
      <c r="C344" s="7" t="s">
        <v>2042</v>
      </c>
      <c r="D344" s="7" t="s">
        <v>714</v>
      </c>
      <c r="E344" s="12" t="s">
        <v>2043</v>
      </c>
      <c r="F344" s="3" t="s">
        <v>716</v>
      </c>
      <c r="G344" s="3" t="s">
        <v>1549</v>
      </c>
      <c r="H344" s="3" t="s">
        <v>765</v>
      </c>
      <c r="I344" s="10" t="n">
        <v>1</v>
      </c>
      <c r="J344" s="10" t="n">
        <v>1</v>
      </c>
      <c r="K344" s="3" t="s">
        <v>624</v>
      </c>
      <c r="L344" s="3" t="s">
        <v>2044</v>
      </c>
    </row>
    <row r="345" customFormat="false" ht="23.85" hidden="false" customHeight="false" outlineLevel="0" collapsed="false">
      <c r="A345" s="7" t="s">
        <v>2045</v>
      </c>
      <c r="B345" s="7" t="s">
        <v>164</v>
      </c>
      <c r="C345" s="7" t="s">
        <v>1543</v>
      </c>
      <c r="D345" s="7" t="s">
        <v>714</v>
      </c>
      <c r="E345" s="12" t="s">
        <v>1544</v>
      </c>
      <c r="F345" s="3" t="s">
        <v>716</v>
      </c>
      <c r="G345" s="3" t="s">
        <v>622</v>
      </c>
      <c r="H345" s="3" t="s">
        <v>746</v>
      </c>
      <c r="I345" s="10" t="n">
        <v>2</v>
      </c>
      <c r="J345" s="10" t="n">
        <v>2</v>
      </c>
      <c r="K345" s="3" t="s">
        <v>624</v>
      </c>
      <c r="L345" s="3" t="s">
        <v>2046</v>
      </c>
    </row>
    <row r="346" customFormat="false" ht="23.85" hidden="false" customHeight="false" outlineLevel="0" collapsed="false">
      <c r="A346" s="7" t="s">
        <v>2047</v>
      </c>
      <c r="B346" s="7" t="s">
        <v>170</v>
      </c>
      <c r="C346" s="7" t="s">
        <v>1543</v>
      </c>
      <c r="D346" s="7" t="s">
        <v>714</v>
      </c>
      <c r="E346" s="12" t="s">
        <v>1544</v>
      </c>
      <c r="F346" s="3" t="s">
        <v>716</v>
      </c>
      <c r="G346" s="3" t="s">
        <v>622</v>
      </c>
      <c r="H346" s="3" t="s">
        <v>746</v>
      </c>
      <c r="I346" s="10" t="n">
        <v>1</v>
      </c>
      <c r="J346" s="10" t="n">
        <v>1</v>
      </c>
      <c r="K346" s="3" t="s">
        <v>624</v>
      </c>
      <c r="L346" s="3" t="s">
        <v>2048</v>
      </c>
    </row>
    <row r="347" customFormat="false" ht="23.85" hidden="false" customHeight="false" outlineLevel="0" collapsed="false">
      <c r="A347" s="7" t="s">
        <v>2049</v>
      </c>
      <c r="B347" s="7" t="s">
        <v>175</v>
      </c>
      <c r="C347" s="7" t="s">
        <v>1552</v>
      </c>
      <c r="D347" s="7" t="s">
        <v>714</v>
      </c>
      <c r="E347" s="12" t="s">
        <v>1553</v>
      </c>
      <c r="F347" s="3" t="s">
        <v>716</v>
      </c>
      <c r="G347" s="3" t="s">
        <v>622</v>
      </c>
      <c r="H347" s="3" t="s">
        <v>717</v>
      </c>
      <c r="I347" s="10" t="n">
        <v>1</v>
      </c>
      <c r="J347" s="10" t="n">
        <v>1</v>
      </c>
      <c r="K347" s="3" t="s">
        <v>624</v>
      </c>
      <c r="L347" s="3" t="s">
        <v>2050</v>
      </c>
    </row>
    <row r="348" customFormat="false" ht="23.85" hidden="false" customHeight="false" outlineLevel="0" collapsed="false">
      <c r="A348" s="7" t="s">
        <v>2051</v>
      </c>
      <c r="B348" s="7" t="s">
        <v>181</v>
      </c>
      <c r="C348" s="7" t="s">
        <v>2052</v>
      </c>
      <c r="D348" s="7" t="s">
        <v>714</v>
      </c>
      <c r="E348" s="12" t="s">
        <v>1540</v>
      </c>
      <c r="F348" s="3" t="s">
        <v>716</v>
      </c>
      <c r="G348" s="3" t="s">
        <v>622</v>
      </c>
      <c r="H348" s="3" t="s">
        <v>717</v>
      </c>
      <c r="I348" s="10" t="n">
        <v>1</v>
      </c>
      <c r="J348" s="10" t="n">
        <v>1</v>
      </c>
      <c r="K348" s="3" t="s">
        <v>624</v>
      </c>
      <c r="L348" s="3" t="s">
        <v>2053</v>
      </c>
    </row>
    <row r="349" customFormat="false" ht="35.05" hidden="false" customHeight="false" outlineLevel="0" collapsed="false">
      <c r="A349" s="7" t="s">
        <v>2054</v>
      </c>
      <c r="B349" s="7" t="s">
        <v>181</v>
      </c>
      <c r="C349" s="7" t="s">
        <v>2055</v>
      </c>
      <c r="D349" s="7" t="s">
        <v>619</v>
      </c>
      <c r="E349" s="12" t="s">
        <v>2056</v>
      </c>
      <c r="F349" s="3" t="s">
        <v>621</v>
      </c>
      <c r="G349" s="3" t="s">
        <v>622</v>
      </c>
      <c r="H349" s="3" t="s">
        <v>623</v>
      </c>
      <c r="I349" s="10" t="n">
        <v>1</v>
      </c>
      <c r="J349" s="10" t="n">
        <v>2</v>
      </c>
      <c r="K349" s="3" t="s">
        <v>695</v>
      </c>
      <c r="L349" s="3" t="s">
        <v>2057</v>
      </c>
    </row>
    <row r="350" customFormat="false" ht="15" hidden="false" customHeight="false" outlineLevel="0" collapsed="false">
      <c r="A350" s="7" t="s">
        <v>2058</v>
      </c>
      <c r="B350" s="7" t="s">
        <v>198</v>
      </c>
      <c r="C350" s="7" t="s">
        <v>2059</v>
      </c>
      <c r="D350" s="7" t="s">
        <v>714</v>
      </c>
      <c r="E350" s="12" t="s">
        <v>1401</v>
      </c>
      <c r="F350" s="3" t="s">
        <v>716</v>
      </c>
      <c r="G350" s="3" t="s">
        <v>622</v>
      </c>
      <c r="H350" s="3" t="s">
        <v>717</v>
      </c>
      <c r="I350" s="10" t="n">
        <v>1</v>
      </c>
      <c r="J350" s="10" t="n">
        <v>1</v>
      </c>
      <c r="K350" s="3" t="s">
        <v>624</v>
      </c>
      <c r="L350" s="3" t="s">
        <v>2060</v>
      </c>
    </row>
    <row r="351" customFormat="false" ht="15" hidden="false" customHeight="false" outlineLevel="0" collapsed="false">
      <c r="A351" s="7" t="s">
        <v>2061</v>
      </c>
      <c r="B351" s="7" t="s">
        <v>192</v>
      </c>
      <c r="C351" s="7" t="s">
        <v>2062</v>
      </c>
      <c r="D351" s="7" t="s">
        <v>714</v>
      </c>
      <c r="E351" s="12" t="s">
        <v>1698</v>
      </c>
      <c r="F351" s="3" t="s">
        <v>716</v>
      </c>
      <c r="G351" s="3" t="s">
        <v>622</v>
      </c>
      <c r="H351" s="3" t="s">
        <v>717</v>
      </c>
      <c r="I351" s="10" t="n">
        <v>1</v>
      </c>
      <c r="J351" s="10" t="n">
        <v>1</v>
      </c>
      <c r="K351" s="3" t="s">
        <v>624</v>
      </c>
      <c r="L351" s="3" t="s">
        <v>2063</v>
      </c>
    </row>
    <row r="352" customFormat="false" ht="15" hidden="false" customHeight="false" outlineLevel="0" collapsed="false">
      <c r="A352" s="7" t="s">
        <v>2064</v>
      </c>
      <c r="B352" s="7" t="s">
        <v>192</v>
      </c>
      <c r="C352" s="7" t="s">
        <v>2065</v>
      </c>
      <c r="D352" s="7" t="s">
        <v>619</v>
      </c>
      <c r="E352" s="12" t="s">
        <v>2066</v>
      </c>
      <c r="F352" s="3" t="s">
        <v>621</v>
      </c>
      <c r="G352" s="3" t="s">
        <v>622</v>
      </c>
      <c r="H352" s="3" t="s">
        <v>623</v>
      </c>
      <c r="I352" s="10" t="n">
        <v>1</v>
      </c>
      <c r="J352" s="10" t="n">
        <v>2</v>
      </c>
      <c r="K352" s="3" t="s">
        <v>624</v>
      </c>
      <c r="L352" s="3" t="s">
        <v>2067</v>
      </c>
    </row>
    <row r="353" customFormat="false" ht="15" hidden="false" customHeight="false" outlineLevel="0" collapsed="false">
      <c r="A353" s="7" t="s">
        <v>2068</v>
      </c>
      <c r="B353" s="7" t="s">
        <v>192</v>
      </c>
      <c r="C353" s="7" t="s">
        <v>2069</v>
      </c>
      <c r="D353" s="7" t="s">
        <v>714</v>
      </c>
      <c r="E353" s="12" t="s">
        <v>1694</v>
      </c>
      <c r="F353" s="3" t="s">
        <v>716</v>
      </c>
      <c r="G353" s="3" t="s">
        <v>622</v>
      </c>
      <c r="H353" s="3" t="s">
        <v>717</v>
      </c>
      <c r="I353" s="10" t="n">
        <v>2</v>
      </c>
      <c r="J353" s="10" t="n">
        <v>3</v>
      </c>
      <c r="K353" s="3" t="s">
        <v>624</v>
      </c>
      <c r="L353" s="3" t="s">
        <v>2070</v>
      </c>
    </row>
    <row r="354" customFormat="false" ht="23.85" hidden="false" customHeight="false" outlineLevel="0" collapsed="false">
      <c r="A354" s="7" t="s">
        <v>2071</v>
      </c>
      <c r="B354" s="7" t="s">
        <v>204</v>
      </c>
      <c r="C354" s="7" t="s">
        <v>2072</v>
      </c>
      <c r="D354" s="7" t="s">
        <v>689</v>
      </c>
      <c r="E354" s="12" t="s">
        <v>690</v>
      </c>
      <c r="F354" s="3" t="s">
        <v>638</v>
      </c>
      <c r="G354" s="3" t="s">
        <v>622</v>
      </c>
      <c r="H354" s="3" t="s">
        <v>639</v>
      </c>
      <c r="I354" s="10" t="n">
        <v>1</v>
      </c>
      <c r="J354" s="10" t="n">
        <v>1</v>
      </c>
      <c r="K354" s="3" t="s">
        <v>624</v>
      </c>
      <c r="L354" s="3" t="s">
        <v>2073</v>
      </c>
    </row>
    <row r="355" customFormat="false" ht="23.85" hidden="false" customHeight="false" outlineLevel="0" collapsed="false">
      <c r="A355" s="7" t="s">
        <v>2074</v>
      </c>
      <c r="B355" s="7" t="s">
        <v>591</v>
      </c>
      <c r="C355" s="7" t="s">
        <v>2075</v>
      </c>
      <c r="D355" s="7" t="s">
        <v>636</v>
      </c>
      <c r="E355" s="12" t="s">
        <v>706</v>
      </c>
      <c r="F355" s="3" t="s">
        <v>638</v>
      </c>
      <c r="G355" s="3" t="s">
        <v>622</v>
      </c>
      <c r="H355" s="3" t="s">
        <v>639</v>
      </c>
      <c r="I355" s="10" t="n">
        <v>1</v>
      </c>
      <c r="J355" s="10" t="n">
        <v>1</v>
      </c>
      <c r="K355" s="3" t="s">
        <v>624</v>
      </c>
      <c r="L355" s="3" t="s">
        <v>2076</v>
      </c>
    </row>
    <row r="356" customFormat="false" ht="23.85" hidden="false" customHeight="false" outlineLevel="0" collapsed="false">
      <c r="A356" s="7" t="s">
        <v>2077</v>
      </c>
      <c r="B356" s="7" t="s">
        <v>187</v>
      </c>
      <c r="C356" s="7" t="s">
        <v>2078</v>
      </c>
      <c r="D356" s="7" t="s">
        <v>636</v>
      </c>
      <c r="E356" s="12" t="s">
        <v>877</v>
      </c>
      <c r="F356" s="3" t="s">
        <v>630</v>
      </c>
      <c r="G356" s="3" t="s">
        <v>622</v>
      </c>
      <c r="H356" s="3" t="s">
        <v>631</v>
      </c>
      <c r="I356" s="10" t="n">
        <v>1</v>
      </c>
      <c r="J356" s="10" t="n">
        <v>1</v>
      </c>
      <c r="K356" s="3" t="s">
        <v>624</v>
      </c>
      <c r="L356" s="3" t="s">
        <v>2079</v>
      </c>
    </row>
    <row r="357" customFormat="false" ht="23.85" hidden="false" customHeight="false" outlineLevel="0" collapsed="false">
      <c r="A357" s="7" t="s">
        <v>2080</v>
      </c>
      <c r="B357" s="7" t="s">
        <v>227</v>
      </c>
      <c r="C357" s="7" t="s">
        <v>2081</v>
      </c>
      <c r="D357" s="7" t="s">
        <v>636</v>
      </c>
      <c r="E357" s="12" t="s">
        <v>1714</v>
      </c>
      <c r="F357" s="3" t="s">
        <v>638</v>
      </c>
      <c r="G357" s="3" t="s">
        <v>622</v>
      </c>
      <c r="H357" s="3" t="s">
        <v>639</v>
      </c>
      <c r="I357" s="10" t="n">
        <v>1</v>
      </c>
      <c r="J357" s="10" t="n">
        <v>1</v>
      </c>
      <c r="K357" s="3" t="s">
        <v>624</v>
      </c>
      <c r="L357" s="3" t="s">
        <v>2082</v>
      </c>
    </row>
    <row r="358" customFormat="false" ht="23.85" hidden="false" customHeight="false" outlineLevel="0" collapsed="false">
      <c r="A358" s="7" t="s">
        <v>2083</v>
      </c>
      <c r="B358" s="7" t="s">
        <v>595</v>
      </c>
      <c r="C358" s="7" t="s">
        <v>2084</v>
      </c>
      <c r="D358" s="7" t="s">
        <v>714</v>
      </c>
      <c r="E358" s="12" t="s">
        <v>2085</v>
      </c>
      <c r="F358" s="3" t="s">
        <v>716</v>
      </c>
      <c r="G358" s="3" t="s">
        <v>622</v>
      </c>
      <c r="H358" s="3" t="s">
        <v>717</v>
      </c>
      <c r="I358" s="10" t="n">
        <v>1</v>
      </c>
      <c r="J358" s="10" t="n">
        <v>1</v>
      </c>
      <c r="K358" s="3" t="s">
        <v>624</v>
      </c>
      <c r="L358" s="3" t="s">
        <v>2086</v>
      </c>
    </row>
    <row r="359" customFormat="false" ht="23.85" hidden="false" customHeight="false" outlineLevel="0" collapsed="false">
      <c r="A359" s="7" t="s">
        <v>2087</v>
      </c>
      <c r="B359" s="7" t="s">
        <v>596</v>
      </c>
      <c r="C359" s="7" t="s">
        <v>2088</v>
      </c>
      <c r="D359" s="7" t="s">
        <v>714</v>
      </c>
      <c r="E359" s="12" t="s">
        <v>2085</v>
      </c>
      <c r="F359" s="3" t="s">
        <v>716</v>
      </c>
      <c r="G359" s="3" t="s">
        <v>622</v>
      </c>
      <c r="H359" s="3" t="s">
        <v>717</v>
      </c>
      <c r="I359" s="10" t="n">
        <v>1</v>
      </c>
      <c r="J359" s="10" t="n">
        <v>1</v>
      </c>
      <c r="K359" s="3" t="s">
        <v>624</v>
      </c>
      <c r="L359" s="3" t="s">
        <v>2089</v>
      </c>
    </row>
    <row r="360" customFormat="false" ht="23.85" hidden="false" customHeight="false" outlineLevel="0" collapsed="false">
      <c r="A360" s="7" t="s">
        <v>2090</v>
      </c>
      <c r="B360" s="7" t="s">
        <v>596</v>
      </c>
      <c r="C360" s="7" t="s">
        <v>2091</v>
      </c>
      <c r="D360" s="7" t="s">
        <v>619</v>
      </c>
      <c r="E360" s="12" t="s">
        <v>2092</v>
      </c>
      <c r="F360" s="3" t="s">
        <v>621</v>
      </c>
      <c r="G360" s="3" t="s">
        <v>622</v>
      </c>
      <c r="H360" s="3" t="s">
        <v>623</v>
      </c>
      <c r="I360" s="10" t="n">
        <v>2</v>
      </c>
      <c r="J360" s="10" t="n">
        <v>2</v>
      </c>
      <c r="K360" s="3" t="s">
        <v>624</v>
      </c>
      <c r="L360" s="3" t="s">
        <v>2093</v>
      </c>
    </row>
    <row r="361" customFormat="false" ht="23.85" hidden="false" customHeight="false" outlineLevel="0" collapsed="false">
      <c r="A361" s="7" t="s">
        <v>2094</v>
      </c>
      <c r="B361" s="7" t="s">
        <v>215</v>
      </c>
      <c r="C361" s="7" t="s">
        <v>1061</v>
      </c>
      <c r="D361" s="7" t="s">
        <v>619</v>
      </c>
      <c r="E361" s="12" t="s">
        <v>1062</v>
      </c>
      <c r="F361" s="3" t="s">
        <v>621</v>
      </c>
      <c r="G361" s="3" t="s">
        <v>622</v>
      </c>
      <c r="H361" s="3" t="s">
        <v>623</v>
      </c>
      <c r="I361" s="10" t="n">
        <v>1</v>
      </c>
      <c r="J361" s="10" t="n">
        <v>1</v>
      </c>
      <c r="K361" s="3" t="s">
        <v>624</v>
      </c>
      <c r="L361" s="3" t="s">
        <v>2095</v>
      </c>
    </row>
    <row r="362" customFormat="false" ht="23.85" hidden="false" customHeight="false" outlineLevel="0" collapsed="false">
      <c r="A362" s="7" t="s">
        <v>2096</v>
      </c>
      <c r="B362" s="7" t="s">
        <v>221</v>
      </c>
      <c r="C362" s="7" t="s">
        <v>2097</v>
      </c>
      <c r="D362" s="7" t="s">
        <v>619</v>
      </c>
      <c r="E362" s="12" t="s">
        <v>2098</v>
      </c>
      <c r="F362" s="3" t="s">
        <v>621</v>
      </c>
      <c r="G362" s="3" t="s">
        <v>622</v>
      </c>
      <c r="H362" s="3" t="s">
        <v>623</v>
      </c>
      <c r="I362" s="10" t="n">
        <v>1</v>
      </c>
      <c r="J362" s="10" t="n">
        <v>1</v>
      </c>
      <c r="K362" s="3" t="s">
        <v>632</v>
      </c>
      <c r="L362" s="3" t="s">
        <v>2099</v>
      </c>
    </row>
    <row r="363" customFormat="false" ht="23.85" hidden="false" customHeight="false" outlineLevel="0" collapsed="false">
      <c r="A363" s="7" t="s">
        <v>2100</v>
      </c>
      <c r="B363" s="7" t="s">
        <v>598</v>
      </c>
      <c r="C363" s="7" t="s">
        <v>1905</v>
      </c>
      <c r="D363" s="7" t="s">
        <v>1205</v>
      </c>
      <c r="E363" s="12" t="s">
        <v>1906</v>
      </c>
      <c r="F363" s="3" t="s">
        <v>638</v>
      </c>
      <c r="G363" s="3" t="s">
        <v>622</v>
      </c>
      <c r="H363" s="3" t="s">
        <v>639</v>
      </c>
      <c r="I363" s="10" t="n">
        <v>1</v>
      </c>
      <c r="J363" s="10" t="n">
        <v>1</v>
      </c>
      <c r="K363" s="3" t="s">
        <v>624</v>
      </c>
      <c r="L363" s="3" t="s">
        <v>2101</v>
      </c>
    </row>
    <row r="364" customFormat="false" ht="15" hidden="false" customHeight="false" outlineLevel="0" collapsed="false">
      <c r="A364" s="7" t="s">
        <v>2102</v>
      </c>
      <c r="B364" s="7" t="s">
        <v>233</v>
      </c>
      <c r="C364" s="7" t="s">
        <v>2103</v>
      </c>
      <c r="D364" s="7" t="s">
        <v>2014</v>
      </c>
      <c r="E364" s="12" t="s">
        <v>2015</v>
      </c>
      <c r="F364" s="3" t="s">
        <v>638</v>
      </c>
      <c r="G364" s="3" t="s">
        <v>622</v>
      </c>
      <c r="H364" s="3" t="s">
        <v>639</v>
      </c>
      <c r="I364" s="10" t="n">
        <v>1</v>
      </c>
      <c r="J364" s="10" t="n">
        <v>1</v>
      </c>
      <c r="K364" s="3" t="s">
        <v>624</v>
      </c>
      <c r="L364" s="3" t="s">
        <v>2104</v>
      </c>
    </row>
    <row r="365" customFormat="false" ht="15" hidden="false" customHeight="false" outlineLevel="0" collapsed="false">
      <c r="A365" s="7" t="s">
        <v>2105</v>
      </c>
      <c r="B365" s="7" t="s">
        <v>238</v>
      </c>
      <c r="C365" s="7" t="s">
        <v>2106</v>
      </c>
      <c r="D365" s="7" t="s">
        <v>901</v>
      </c>
      <c r="E365" s="12" t="s">
        <v>1252</v>
      </c>
      <c r="F365" s="3" t="s">
        <v>638</v>
      </c>
      <c r="G365" s="3" t="s">
        <v>622</v>
      </c>
      <c r="H365" s="3" t="s">
        <v>639</v>
      </c>
      <c r="I365" s="10" t="n">
        <v>1</v>
      </c>
      <c r="J365" s="10" t="n">
        <v>1</v>
      </c>
      <c r="K365" s="3" t="s">
        <v>624</v>
      </c>
      <c r="L365" s="3" t="s">
        <v>2107</v>
      </c>
    </row>
    <row r="366" customFormat="false" ht="15" hidden="false" customHeight="false" outlineLevel="0" collapsed="false">
      <c r="A366" s="7" t="s">
        <v>2108</v>
      </c>
      <c r="B366" s="7" t="s">
        <v>238</v>
      </c>
      <c r="C366" s="7" t="s">
        <v>2109</v>
      </c>
      <c r="D366" s="7" t="s">
        <v>628</v>
      </c>
      <c r="E366" s="12" t="s">
        <v>2110</v>
      </c>
      <c r="F366" s="3" t="s">
        <v>630</v>
      </c>
      <c r="G366" s="3" t="s">
        <v>622</v>
      </c>
      <c r="H366" s="3" t="s">
        <v>631</v>
      </c>
      <c r="I366" s="10" t="n">
        <v>2</v>
      </c>
      <c r="J366" s="10" t="n">
        <v>2</v>
      </c>
      <c r="K366" s="3" t="s">
        <v>624</v>
      </c>
      <c r="L366" s="3" t="s">
        <v>2111</v>
      </c>
    </row>
    <row r="367" customFormat="false" ht="15" hidden="false" customHeight="false" outlineLevel="0" collapsed="false">
      <c r="A367" s="7" t="s">
        <v>2112</v>
      </c>
      <c r="B367" s="7" t="s">
        <v>603</v>
      </c>
      <c r="C367" s="7" t="s">
        <v>2113</v>
      </c>
      <c r="D367" s="7" t="s">
        <v>1918</v>
      </c>
      <c r="E367" s="12" t="s">
        <v>2114</v>
      </c>
      <c r="F367" s="3" t="s">
        <v>638</v>
      </c>
      <c r="G367" s="3" t="s">
        <v>622</v>
      </c>
      <c r="H367" s="3" t="s">
        <v>639</v>
      </c>
      <c r="I367" s="10" t="n">
        <v>2</v>
      </c>
      <c r="J367" s="10" t="n">
        <v>1</v>
      </c>
      <c r="K367" s="3" t="s">
        <v>624</v>
      </c>
      <c r="L367" s="3" t="s">
        <v>2115</v>
      </c>
    </row>
  </sheetData>
  <hyperlinks>
    <hyperlink ref="E2" r:id="rId1" display="https://github.com/PX4/PX4-Autopilot/blob/main/README.md"/>
    <hyperlink ref="E3" r:id="rId2" display="https://docs.px4.io/main/en/"/>
    <hyperlink ref="E4" r:id="rId3" display="https://docs.px4.io/main/en/sim_gazebo_gz/multi_vehicle_simulation"/>
    <hyperlink ref="E5" r:id="rId4" display="https://docs.px4.io/v1.14/en/ros/ros2_multi_vehicle"/>
    <hyperlink ref="E6" r:id="rId5" display="https://github.com/PX4/PX4-user_guide"/>
    <hyperlink ref="E7" r:id="rId6" display="https://github.com/ArduPilot/ardupilot/blob/master/README.md"/>
    <hyperlink ref="E8" r:id="rId7" display="https://ardupilot.org/dev/"/>
    <hyperlink ref="E9" r:id="rId8" display="https://ardupilot.org/dev/docs/learning-the-ardupilot-codebase.html"/>
    <hyperlink ref="E10" r:id="rId9" display="https://github.com/ArduPilot/ardupilot_wiki"/>
    <hyperlink ref="E11" r:id="rId10" display="https://docs.skybrush.io/public/skybrush-firmware-doc/latest/index.html"/>
    <hyperlink ref="E12" r:id="rId11" display="https://skybrush.io/blog/2025-10-20-firmware-update/"/>
    <hyperlink ref="E13" r:id="rId12" display="https://github.com/bitcraze/crazyflie-firmware"/>
    <hyperlink ref="E14" r:id="rId13" display="https://github.com/bitcraze/crazyflie-firmware/releases"/>
    <hyperlink ref="E15" r:id="rId14" display="https://www.bitcraze.io/2026/09/running-tapestry-os-on-the-crazyflie-collective-behavior-without-writing-firmware/"/>
    <hyperlink ref="E16" r:id="rId15" display="https://github.com/betaflight/betaflight"/>
    <hyperlink ref="E17" r:id="rId16" display="https://github.com/iNavFlight/inav"/>
    <hyperlink ref="E18" r:id="rId17" display="https://docs.px4.io/main/en/middleware/uxrce_dds"/>
    <hyperlink ref="E19" r:id="rId18" display="https://docs.px4.io/main/en/ros2/user_guide"/>
    <hyperlink ref="E20" r:id="rId19" display="https://github.com/ctu-mrs/mrs_uav_system"/>
    <hyperlink ref="E21" r:id="rId20" display="https://arxiv.org/abs/2008.08050"/>
    <hyperlink ref="E22" r:id="rId21" display="https://ctu-mrs.github.io/"/>
    <hyperlink ref="E23" r:id="rId22" display="https://github.com/ctu-mrs/ctu-mrs.github.io"/>
    <hyperlink ref="E24" r:id="rId23" display="https://github.com/ros-navigation/navigation2"/>
    <hyperlink ref="E25" r:id="rId24" display="https://docs.nav2.org/"/>
    <hyperlink ref="E26" r:id="rId25" display="https://github.com/ros-navigation/docs.nav2.org"/>
    <hyperlink ref="E27" r:id="rId26" display="https://github.com/ros-planning/navigation2/blob/main/nav2_bringup/README.md"/>
    <hyperlink ref="E28" r:id="rId27" display="https://oceanai.mit.edu/moos-ivp-pdf/moosivp-helm.pdf"/>
    <hyperlink ref="E29" r:id="rId28" display="https://apps.dtic.mil/sti/tr/pdf/ADA559856.pdf"/>
    <hyperlink ref="E30" r:id="rId29" display="https://moos-ivp.org"/>
    <hyperlink ref="E31" r:id="rId30" display="https://github.com/moos-ivp/moos-ivp"/>
    <hyperlink ref="E32" r:id="rId31" display="https://onlinelibrary.wiley.com/doi/abs/10.1002/rob.20370"/>
    <hyperlink ref="E33" r:id="rId32" display="https://autowarefoundation.github.io/autoware-documentation/"/>
    <hyperlink ref="E34" r:id="rId33" display="https://github.com/autowarefoundation/autoware"/>
    <hyperlink ref="E35" r:id="rId34" display="https://nvidia-isaac-ros.github.io/"/>
    <hyperlink ref="E36" r:id="rId35" display="https://github.com/NVIDIA-ISAAC-ROS/isaac_ros_visual_slam"/>
    <hyperlink ref="E37" r:id="rId36" display="https://github.com/NVIDIA-ISAAC-ROS/isaac_ros_nvblox"/>
    <hyperlink ref="E38" r:id="rId37" display="https://github.com/nvidia-isaac/cuVSLAM"/>
    <hyperlink ref="E39" r:id="rId38" display="https://nvidia-isaac-ros.github.io/v/release-2.1/concepts/visual_slam/cuvslam/index.html"/>
    <hyperlink ref="E40" r:id="rId39" display="https://nvidia-isaac-ros.github.io/v/release-3.1/repositories_and_packages/isaac_ros_nvblox/index.html"/>
    <hyperlink ref="E41" r:id="rId40" display="https://nvidia-isaac-ros.github.io/repositories_and_packages/isaac_ros_nitros/index.html"/>
    <hyperlink ref="E42" r:id="rId41" display="https://github.com/NVIDIA-ISAAC-ROS/isaac_ros_nitros"/>
    <hyperlink ref="E43" r:id="rId42" display="https://docs.ros.org/en/jazzy/"/>
    <hyperlink ref="E44" r:id="rId43" display="https://docs.ros.org/en/jazzy/Concepts/Basic/About-Discovery.html"/>
    <hyperlink ref="E45" r:id="rId44" display="https://docs.ros.org/en/jazzy/Tutorials/Advanced/Improved-Dynamic-Discovery.html"/>
    <hyperlink ref="E46" r:id="rId45" display="https://docs.ros.org/en/jazzy/Tutorials/Advanced/Discovery-Server/Discovery-Server.html"/>
    <hyperlink ref="E47" r:id="rId46" display="https://docs.ros.org/en/jazzy/Concepts/Advanced/About-Middleware-Implementations.html"/>
    <hyperlink ref="E48" r:id="rId47" display="https://wiki.ros.org/"/>
    <hyperlink ref="E49" r:id="rId48" display="https://docs.ros.org/en/jazzy/Concepts/Intermediate/About-Different-Middleware-Vendors.html"/>
    <hyperlink ref="E50" r:id="rId49" display="https://github.com/ros2/rmw_zenoh"/>
    <hyperlink ref="E51" r:id="rId50" display="https://github.com/ros2/rmw_zenoh/blob/rolling/docs/design.md"/>
    <hyperlink ref="E52" r:id="rId51" display="https://github.com/ros2/rmw_zenoh/tree/jazzy"/>
    <hyperlink ref="E53" r:id="rId52" display="https://docs.px4.io/main/en/ros2/user_guide"/>
    <hyperlink ref="E54" r:id="rId53" display="https://aliasrobotics.com/files/SROS2.pdf"/>
    <hyperlink ref="E55" r:id="rId54" display="https://index.ros.org/p/sros2/"/>
    <hyperlink ref="E56" r:id="rId55" display="https://osrf.github.io/ros2multirobotbook/security.html"/>
    <hyperlink ref="E57" r:id="rId56" display="https://micro.vulcanexus.org/docs/overview/features/"/>
    <hyperlink ref="E58" r:id="rId57" display="https://github.com/micro-ROS/micro-ros.github.io"/>
    <hyperlink ref="E59" r:id="rId58" display="https://github.com/micro-ROS/micro-ROS-Agent"/>
    <hyperlink ref="E60" r:id="rId59" display="https://docs.vulcanexus.org/en/latest/rst/microros_documentation/index.html"/>
    <hyperlink ref="E61" r:id="rId60" display="https://github.com/themoos/core-moos"/>
    <hyperlink ref="E62" r:id="rId61" display="https://mavlink.io/en/"/>
    <hyperlink ref="E63" r:id="rId62" display="https://mavlink.io/README.html"/>
    <hyperlink ref="E64" r:id="rId63" display="https://github.com/mavlink/MAVSDK"/>
    <hyperlink ref="E65" r:id="rId64" display="https://github.com/mavlink/MAVSDK-docs"/>
    <hyperlink ref="E66" r:id="rId65" display="https://dronecode.org/sdk/"/>
    <hyperlink ref="E67" r:id="rId66" display="https://github.com/mavlink/mavros/blob/ros2/README.md"/>
    <hyperlink ref="E68" r:id="rId67" display="https://github.com/mavlink/mavros/blob/ros2/mavros/README.md"/>
    <hyperlink ref="E69" r:id="rId68" display="https://docs.ros.org/en/iron/p/mavros/standard_docs/README.html"/>
    <hyperlink ref="E70" r:id="rId69" display="https://github.com/afrl-rq/OpenAMASE/tree/master/OpenAMASE/docs/lmcp"/>
    <hyperlink ref="E71" r:id="rId70" display="https://docs.kernel.org/networking/batman-adv.html"/>
    <hyperlink ref="E72" r:id="rId71" display="https://www.open-mesh.org/projects/batman-adv/wiki"/>
    <hyperlink ref="E73" r:id="rId72" display="https://www.rfc-editor.org/rfc/rfc3626"/>
    <hyperlink ref="E74" r:id="rId73" display="https://www.rfc-editor.org/rfc/rfc7181"/>
    <hyperlink ref="E75" r:id="rId74" display="https://meshtastic.org/docs/"/>
    <hyperlink ref="E76" r:id="rId75" display="https://github.com/meshtastic/firmware"/>
    <hyperlink ref="E77" r:id="rId76" display="https://zguide.zeromq.org/"/>
    <hyperlink ref="E78" r:id="rId77" display="https://grpc.io/docs/"/>
    <hyperlink ref="E79" r:id="rId78" display="https://protobuf.dev/"/>
    <hyperlink ref="E80" r:id="rId79" display="https://flatbuffers.dev/"/>
    <hyperlink ref="E81" r:id="rId80" display="https://1.ieee802.org/tsn/"/>
    <hyperlink ref="E82" r:id="rId81" display="https://arxiv.org/abs/2303.18237"/>
    <hyperlink ref="E83" r:id="rId82" display="https://aerostack2.github.io/"/>
    <hyperlink ref="E84" r:id="rId83" display="https://github.com/aerostack2/aerostack2"/>
    <hyperlink ref="E85" r:id="rId84" display="https://github.com/aerostack2/aerostack2.github.io"/>
    <hyperlink ref="E86" r:id="rId85" display="https://github.com/aerostack2/aerostack2.github.io/blob/main/docs/_01_aerostack2_concepts/behaviors/index.rst"/>
    <hyperlink ref="E87" r:id="rId86" display="https://docs.ros.org/en/humble/p/aerostack2/generated/index.html"/>
    <hyperlink ref="E88" r:id="rId87" display="https://github.com/aerostack2"/>
    <hyperlink ref="E89" r:id="rId88" display="https://arxiv.org/abs/2206.08185"/>
    <hyperlink ref="E90" r:id="rId89" display="https://github.com/IMRCLab/crazyswarm2/blob/main/README.md"/>
    <hyperlink ref="E91" r:id="rId90" display="https://imrclab.github.io/crazyswarm2/"/>
    <hyperlink ref="E92" r:id="rId91" display="https://imrclab.github.io/crazyswarm2/overview.html"/>
    <hyperlink ref="E93" r:id="rId92" display="https://github.com/OPT4SMART/crazychoir"/>
    <hyperlink ref="E94" r:id="rId93" display="https://arxiv.org/abs/2302.00716"/>
    <hyperlink ref="E95" r:id="rId94" display="https://arxiv.org/abs/2010.13431"/>
    <hyperlink ref="E96" r:id="rId95" display="https://github.com/OPT4SMART/ChoiRbot"/>
    <hyperlink ref="E97" r:id="rId96" display="https://opt4smart.github.io/ChoiRbot/"/>
    <hyperlink ref="E98" r:id="rId97" display="https://arxiv.org/abs/2309.04257"/>
    <hyperlink ref="E99" r:id="rId98" display="https://github.com/ROS2swarm/ROS2swarm"/>
    <hyperlink ref="E100" r:id="rId99" display="https://arxiv.org/abs/2405.02438"/>
    <hyperlink ref="E101" r:id="rId100" display="https://github.com/ROS2swarm"/>
    <hyperlink ref="E102" r:id="rId101" display="https://github.com/MISTLab/Buzz"/>
    <hyperlink ref="E103" r:id="rId102" display="https://arxiv.org/abs/1507.05946"/>
    <hyperlink ref="E104" r:id="rId103" display="https://github.com/MISTLab/ROSBuzz"/>
    <hyperlink ref="E105" r:id="rId104" display="https://mistlab.ca/buzztutorial/"/>
    <hyperlink ref="E106" r:id="rId105" display="https://seulbae-security.github.io/pubs/swarmbox-fse26.pdf"/>
    <hyperlink ref="E107" r:id="rId106" display="https://compsec.postech.ac.kr/swarmbox/"/>
    <hyperlink ref="E108" r:id="rId107" display="https://github.com/postech-compsec/swarmbox"/>
    <hyperlink ref="E109" r:id="rId108" display="https://dl.acm.org/doi/10.1145/3808100"/>
    <hyperlink ref="E110" r:id="rId109" display="https://zenodo.org/records/19344308"/>
    <hyperlink ref="E111" r:id="rId110" display="https://osrf.github.io/ros2multirobotbook/"/>
    <hyperlink ref="E112" r:id="rId111" display="https://github.com/open-rmf/rmf"/>
    <hyperlink ref="E113" r:id="rId112" display="https://github.com/open-rmf/rmf_demos"/>
    <hyperlink ref="E114" r:id="rId113" display="https://github.com/open-rmf/rmf_ros2"/>
    <hyperlink ref="E115" r:id="rId114" display="https://github.com/afrl-rq/OpenUxAS"/>
    <hyperlink ref="E116" r:id="rId115" display="https://github.com/afrl-rq/OpenUxAS-SoI"/>
    <hyperlink ref="E117" r:id="rId116" display="https://github.com/afrl-rq"/>
    <hyperlink ref="E118" r:id="rId117" display="https://github.com/skybrush-io/skybrush-server"/>
    <hyperlink ref="E119" r:id="rId118" display="https://github.com/skybrush-io/skybrush-server/blob/main/CHANGELOG.md"/>
    <hyperlink ref="E120" r:id="rId119" display="https://github.com/skybrush-io/ap-swarm-launcher"/>
    <hyperlink ref="E121" r:id="rId120" display="https://github.com/orgs/skybrush-io/repositories"/>
    <hyperlink ref="E122" r:id="rId121" display="https://docs.qgroundcontrol.com/"/>
    <hyperlink ref="E123" r:id="rId122" display="https://github.com/mavlink/qgroundcontrol"/>
    <hyperlink ref="E124" r:id="rId123" display="https://ardupilot.org/planner/"/>
    <hyperlink ref="E125" r:id="rId124" display="https://github.com/ArduPilot/MissionPlanner"/>
    <hyperlink ref="E126" r:id="rId125" display="https://github.com/afrl-rq/OpenAMASE"/>
    <hyperlink ref="E127" r:id="rId126" display="https://github.com/afrl-rq/OpenAMASE/tree/master/OpenAMASE"/>
    <hyperlink ref="E128" r:id="rId127" display="https://github.com/skybrush-io/skybrush-studio-blender"/>
    <hyperlink ref="E129" r:id="rId128" display="https://docs.blender.org/manual/en/latest/"/>
    <hyperlink ref="E130" r:id="rId129" display="https://github.com/gazebosim/docs"/>
    <hyperlink ref="E131" r:id="rId130" display="https://github.com/gazebosim/docs/blob/master/harmonic/comparison.md"/>
    <hyperlink ref="E132" r:id="rId131" display="https://github.com/gazebosim/gz-harmonic"/>
    <hyperlink ref="E133" r:id="rId132" display="https://gazebosim.org/docs/"/>
    <hyperlink ref="E134" r:id="rId133" display="https://github.com/ilpincy/argos3"/>
    <hyperlink ref="E135" r:id="rId134" display="https://link.springer.com/article/10.1007/s11721-012-0072-5"/>
    <hyperlink ref="E136" r:id="rId135" display="https://www.argos-sim.info"/>
    <hyperlink ref="E137" r:id="rId136" display="https://docs.isaacsim.omniverse.nvidia.com/latest/"/>
    <hyperlink ref="E138" r:id="rId137" display="https://github.com/isaac-sim/IsaacSim"/>
    <hyperlink ref="E139" r:id="rId138" display="https://developer.nvidia.com/blog/announcing-general-availability-for-nvidia-isaac-sim-5-0-and-nvidia-isaac-lab-2-2"/>
    <hyperlink ref="E140" r:id="rId139" display="https://docs.isaacsim.omniverse.nvidia.com/6.0.1/overview/release_notes.html"/>
    <hyperlink ref="E141" r:id="rId140" display="https://developer.nvidia.com/blog/developers-build-fast-and-reliable-robot-simulations-with-nvidia-omniverse-libraries/"/>
    <hyperlink ref="E142" r:id="rId141" display="https://github.com/isaac-sim/IsaacSim/releases"/>
    <hyperlink ref="E143" r:id="rId142" display="https://github.com/PegasusSimulator/PegasusSimulator"/>
    <hyperlink ref="E144" r:id="rId143" display="https://pegasussimulator.github.io/PegasusSimulator/"/>
    <hyperlink ref="E145" r:id="rId144" display="https://arxiv.org/abs/2307.05263"/>
    <hyperlink ref="E146" r:id="rId145" display="https://github.com/aerostack2/project_pegasus_isaac_sim"/>
    <hyperlink ref="E147" r:id="rId146" display="https://developer.nvidia.com/blog/announcing-general-availability-for-nvidia-isaac-sim-5-0-and-nvidia-isaac-lab-2-2"/>
    <hyperlink ref="E148" r:id="rId147" display="https://docs.isaacsim.omniverse.nvidia.com/6.0.1/overview/release_notes.html"/>
    <hyperlink ref="E149" r:id="rId148" display="https://github.com/newton-physics/newton"/>
    <hyperlink ref="E150" r:id="rId149" display="https://newton-physics.github.io/newton/stable/guide/overview.html"/>
    <hyperlink ref="E151" r:id="rId150" display="https://developer.nvidia.com/newton-physics"/>
    <hyperlink ref="E152" r:id="rId151" display="https://github.com/NVIDIA/warp"/>
    <hyperlink ref="E153" r:id="rId152" display="https://nvidia.github.io/warp/"/>
    <hyperlink ref="E154" r:id="rId153" display="https://github.com/google-deepmind/mujoco"/>
    <hyperlink ref="E155" r:id="rId154" display="https://mujoco.readthedocs.io/"/>
    <hyperlink ref="E156" r:id="rId155" display="https://openusd.org/"/>
    <hyperlink ref="E157" r:id="rId156" display="https://github.com/PixarAnimationStudios/OpenUSD"/>
    <hyperlink ref="E158" r:id="rId157" display="https://o3de.org/docs/"/>
    <hyperlink ref="E159" r:id="rId158" display="https://github.com/ros-simulation/simulation_interfaces"/>
    <hyperlink ref="E160" r:id="rId159" display="https://github.com/microsoft/AirSim"/>
    <hyperlink ref="E161" r:id="rId160" display="https://arxiv.org/abs/1705.05065"/>
    <hyperlink ref="E162" r:id="rId161" display="https://microsoft.github.io/AirSim/"/>
    <hyperlink ref="E163" r:id="rId162" display="https://github.com/iamaisim/ProjectAirSim"/>
    <hyperlink ref="E164" r:id="rId163" display="https://github.com/iamaisim/ProjectAirSim/releases"/>
    <hyperlink ref="E165" r:id="rId164" display="https://github.com/microsoft/AirSim/issues/5025"/>
    <hyperlink ref="E166" r:id="rId165" display="https://github.com/Cosys-Lab/Cosys-AirSim/blob/main/README.md"/>
    <hyperlink ref="E167" r:id="rId166" display="https://cosys-lab.github.io/Cosys-AirSim/"/>
    <hyperlink ref="E168" r:id="rId167" display="https://github.com/Cosys-Lab/Cosys-AirSim/blob/main/CHANGELOG.md"/>
    <hyperlink ref="E169" r:id="rId168" display="https://github.com/CodexLabsLLC/Colosseum/blob/main/README.md"/>
    <hyperlink ref="E170" r:id="rId169" display="https://github.com/CodexLabsLLC/Colosseum/releases"/>
    <hyperlink ref="E171" r:id="rId170" display="https://swarmsim.io"/>
    <hyperlink ref="E172" r:id="rId171" display="https://engineering.purdue.edu/OPP/ICON/Research/Demos/swarm-simulation-platforms"/>
    <hyperlink ref="E173" r:id="rId172" display="https://dev.epicgames.com/documentation/en-us/unreal-engine"/>
    <hyperlink ref="E174" r:id="rId173" display="https://github.com/cyberbotics/webots/blob/master/README.md"/>
    <hyperlink ref="E175" r:id="rId174" display="https://github.com/cyberbotics/webots/tree/master/docs"/>
    <hyperlink ref="E176" r:id="rId175" display="https://cyberbotics.com/doc/guide/tutorials"/>
    <hyperlink ref="E177" r:id="rId176" display="https://manual.coppeliarobotics.com/"/>
    <hyperlink ref="E178" r:id="rId177" display="https://github.com/osrf/vrx"/>
    <hyperlink ref="E179" r:id="rId178" display="https://github.com/osrf/vrx/wiki"/>
    <hyperlink ref="E180" r:id="rId179" display="https://github.com/osrf/vrx/files/4731857/PID6131719.pdf"/>
    <hyperlink ref="E181" r:id="rId180" display="https://github.com/patrykcieslak/stonefish"/>
    <hyperlink ref="E182" r:id="rId181" display="https://stonefish.readthedocs.io/"/>
    <hyperlink ref="E183" r:id="rId182" display="https://arxiv.org/abs/2502.11887"/>
    <hyperlink ref="E184" r:id="rId183" display="https://byu-holoocean.github.io/holoocean-docs/v2.0.0/index.html"/>
    <hyperlink ref="E185" r:id="rId184" display="https://github.com/ctu-mrs/mrs_multirotor_simulator"/>
    <hyperlink ref="E186" r:id="rId185" display="https://github.com/lis-epfl/swarmlab"/>
    <hyperlink ref="E187" r:id="rId186" display="https://www.robotarium.gatech.edu/"/>
    <hyperlink ref="E188" r:id="rId187" display="https://arxiv.org/abs/2505.06771"/>
    <hyperlink ref="E189" r:id="rId188" display="https://www.nsnam.org/docs/models/singlehtml/"/>
    <hyperlink ref="E190" r:id="rId189" display="https://www.nsnam.org/docs/manual/html/index.html"/>
    <hyperlink ref="E191" r:id="rId190" display="https://www.nsnam.org/documentation/"/>
    <hyperlink ref="E192" r:id="rId191" display="https://www.nsnam.org/docs/models/html/"/>
    <hyperlink ref="E193" r:id="rId192" display="https://www.peratonlabs.com/uploads/1/3/4/9/134979869/cybervan_cyber_range_ov.pdf"/>
    <hyperlink ref="E194" r:id="rId193" display="https://ieeexplore.ieee.org/iel7/7784513/7795145/07795481.pdf"/>
    <hyperlink ref="E195" r:id="rId194" display="https://www.peratonlabs.com/cybervan-high-fidelity-cyber-range.html"/>
    <hyperlink ref="E196" r:id="rId195" display="https://www.peraton.com/capabilities/engineering/cybervan"/>
    <hyperlink ref="E198" r:id="rId196" display="https://www.peratonlabs.com/cybervan.html"/>
    <hyperlink ref="E199" r:id="rId197" display="https://www.peraton.com/news/cybervan-a-digital-twin-for-enhanced-cyber-readiness"/>
    <hyperlink ref="E200" r:id="rId198" display="https://www.peraton.com/wp-content/uploads/CyberVanForSpace_WP_digital.pdf"/>
    <hyperlink ref="E201" r:id="rId199" display="https://cybervan.peratonlabs.com:9000/welcome"/>
    <hyperlink ref="E202" r:id="rId200" display="https://cybervan.peratonlabs.com:9000/publications"/>
    <hyperlink ref="E203" r:id="rId201" display="https://www.iarpa.gov/images/PropsersDayPDFs/ReSCIND/L06_-_Lightening_Talk_-_Peraton_Labs_-_RC.pdf"/>
    <hyperlink ref="E204" r:id="rId202" display="https://github.com/adjacentlink/emane-guide"/>
    <hyperlink ref="E205" r:id="rId203" display="https://github.com/adjacentlink/emane/wiki"/>
    <hyperlink ref="E206" r:id="rId204" display="https://github.com/adjacentlink/emane/wiki/Introduction"/>
    <hyperlink ref="E207" r:id="rId205" display="https://coreemu.github.io/core/emane.html"/>
    <hyperlink ref="E208" r:id="rId206" display="https://github.com/coreemu/core/blob/master/docs/emane.md"/>
    <hyperlink ref="E209" r:id="rId207" display="https://github.com/NVlabs/sionna"/>
    <hyperlink ref="E210" r:id="rId208" display="https://nvlabs.github.io/sionna/"/>
    <hyperlink ref="E211" r:id="rId209" display="https://nvlabs.github.io/sionna/rt"/>
    <hyperlink ref="E212" r:id="rId210" display="https://arxiv.org/abs/2501.00372"/>
    <hyperlink ref="E213" r:id="rId211" display="https://github.com/NVlabs/sionna-rt"/>
    <hyperlink ref="E214" r:id="rId212" display="https://arxiv.org/abs/2412.20524"/>
    <hyperlink ref="E215" r:id="rId213" display="https://github.com/NVlabs/sionna-rt/releases"/>
    <hyperlink ref="E216" r:id="rId214" display="https://github.com/MinaYonan123/ns3-rt-ric-taap"/>
    <hyperlink ref="E217" r:id="rId215" display="https://github.com/NVlabs/diff-rt"/>
    <hyperlink ref="E218" r:id="rId216" display="https://arxiv.org/abs/2508.15816"/>
    <hyperlink ref="E219" r:id="rId217" display="https://ece.iisc.ac.in/~parimal/papers/2020/comsnets.pdf"/>
    <hyperlink ref="E220" r:id="rId218" display="https://arxiv.org/abs/2109.06979"/>
    <hyperlink ref="E221" r:id="rId219" display="https://par.nsf.gov/servlets/purl/10297241"/>
    <hyperlink ref="E222" r:id="rId220" display="https://www.researchgate.net/publication/257343897_RoboNetSim_An_integrated_framework_for_multi-robot_and_network_simulation"/>
    <hyperlink ref="E223" r:id="rId221" display="https://arxiv.org/abs/2208.06569"/>
    <hyperlink ref="E224" r:id="rId222" display="https://github.com/isaac-sim/IsaacLab"/>
    <hyperlink ref="E225" r:id="rId223" display="https://github.com/isaac-sim/IsaacLab/releases"/>
    <hyperlink ref="E226" r:id="rId224" display="https://github.com/NVIDIA/Cosmos"/>
    <hyperlink ref="E227" r:id="rId225" display="https://github.com/nvidia-cosmos/cosmos-transfer2.5"/>
    <hyperlink ref="E228" r:id="rId226" display="https://github.com/nvidia-cosmos/cosmos-cookbook"/>
    <hyperlink ref="E229" r:id="rId227" display="https://github.com/nvidia-cosmos/cosmos-transfer1"/>
    <hyperlink ref="E230" r:id="rId228" display="https://arxiv.org/abs/2502.16372"/>
    <hyperlink ref="E231" r:id="rId229" display="https://github.com/NVlabs/COMPASS"/>
    <hyperlink ref="E232" r:id="rId230" display="https://nvlabs.github.io/COMPASS/"/>
    <hyperlink ref="E233" r:id="rId231" display="https://arxiv.org/abs/2309.12825"/>
    <hyperlink ref="E234" r:id="rId232" display="https://github.com/btx0424/OmniDrones/blob/main/README.md"/>
    <hyperlink ref="E235" r:id="rId233" display="https://omnidrones.readthedocs.io/"/>
    <hyperlink ref="E236" r:id="rId234" display="https://github.com/utiasDSL/gym-pybullet-drones"/>
    <hyperlink ref="E237" r:id="rId235" display="https://arxiv.org/abs/2103.02142"/>
    <hyperlink ref="E238" r:id="rId236" display="https://github.com/proroklab/VectorizedMultiAgentSimulator"/>
    <hyperlink ref="E239" r:id="rId237" display="https://link.springer.com/chapter/10.1007/978-3-031-51497-5_4"/>
    <hyperlink ref="E240" r:id="rId238" display="https://github.com/facebookresearch/BenchMARL"/>
    <hyperlink ref="E241" r:id="rId239" display="https://benchmarl.readthedocs.io/en/latest/"/>
    <hyperlink ref="E242" r:id="rId240" display="https://github.com/FLAIROx/JaxMARL"/>
    <hyperlink ref="E243" r:id="rId241" display="https://arxiv.org/abs/2311.10090"/>
    <hyperlink ref="E244" r:id="rId242" display="https://github.com/Zhehui-Huang/quad-swarm-rl"/>
    <hyperlink ref="E245" r:id="rId243" display="https://arxiv.org/abs/2309.13285"/>
    <hyperlink ref="E246" r:id="rId244" display="https://arxiv.org/abs/2109.07735"/>
    <hyperlink ref="E247" r:id="rId245" display="https://arxiv.org/abs/2307.03891"/>
    <hyperlink ref="E248" r:id="rId246" display="https://github.com/GT-STAR-Lab/MARBLER"/>
    <hyperlink ref="E249" r:id="rId247" display="https://shubhlohiya.github.io/MARBLER/"/>
    <hyperlink ref="E250" r:id="rId248" display="https://github.com/huggingface/lerobot"/>
    <hyperlink ref="E251" r:id="rId249" display="https://github.com/nsidn98/InforMARL"/>
    <hyperlink ref="E252" r:id="rId250" display="https://dl.acm.org/doi/10.1145/3580305.3599359"/>
    <hyperlink ref="E253" r:id="rId251" display="https://arxiv.org/abs/2603.04833"/>
    <hyperlink ref="E254" r:id="rId252" display="https://doi.org/10.3389/frobt.2026.1843313"/>
    <hyperlink ref="E255" r:id="rId253" display="https://www.sciencedirect.com/science/article/pii/S2667379726000021"/>
    <hyperlink ref="E256" r:id="rId254" display="https://arxiv.org/abs/2309.10062"/>
    <hyperlink ref="E257" r:id="rId255" display="https://arxiv.org/abs/2307.01928"/>
    <hyperlink ref="E258" r:id="rId256" display="https://arxiv.org/abs/2605.31066"/>
    <hyperlink ref="E259" r:id="rId257" display="https://arxiv.org/abs/2603.28032"/>
    <hyperlink ref="E260" r:id="rId258" display="https://arxiv.org/abs/2503.13784"/>
    <hyperlink ref="E261" r:id="rId259" display="https://arxiv.org/abs/2402.07573"/>
    <hyperlink ref="E262" r:id="rId260" display="https://arxiv.org/abs/2512.01035"/>
    <hyperlink ref="E263" r:id="rId261" display="https://docs.foxglove.dev/docs/fleet"/>
    <hyperlink ref="E264" r:id="rId262" display="https://docs.foxglove.dev/docs/fleet/bridge"/>
    <hyperlink ref="E265" r:id="rId263" display="https://docs.ros.org/en/ros2_packages/rolling/api/foxglove_bridge/"/>
    <hyperlink ref="E266" r:id="rId264" display="https://docs.ros.org/en/kilted/Related-Projects/Visualizing-ROS-2-Data-With-Foxglove.html"/>
    <hyperlink ref="E267" r:id="rId265" display="https://github.com/foxglove/mcap/tree/main/docs/specification"/>
    <hyperlink ref="E268" r:id="rId266" display="https://github.com/foxglove/mcap"/>
    <hyperlink ref="E269" r:id="rId267" display="https://mcap.dev/"/>
    <hyperlink ref="E270" r:id="rId268" display="https://foxglove.dev/blog/introducing-the-mcap-file-format"/>
    <hyperlink ref="E271" r:id="rId269" display="https://foxglove.dev/product/mcap"/>
    <hyperlink ref="E272" r:id="rId270" display="https://github.com/ros2/rosbag2"/>
    <hyperlink ref="E273" r:id="rId271" display="https://docs.ros.org/en/kilted/Related-Projects/Visualizing-ROS-2-Data-With-Foxglove.html"/>
    <hyperlink ref="E274" r:id="rId272" display="https://developer.nvidia.com/embedded/jetson-orin"/>
    <hyperlink ref="E275" r:id="rId273" display="https://developer.nvidia.com/embedded/jetson-thor"/>
    <hyperlink ref="E276" r:id="rId274" display="https://github.com/nvidia-cosmos/cosmos-cookbook"/>
    <hyperlink ref="E277" r:id="rId275" display="https://docs.isaacsim.omniverse.nvidia.com/latest/"/>
    <hyperlink ref="E278" r:id="rId276" display="https://www.raspberrypi.com/documentation/"/>
    <hyperlink ref="E279" r:id="rId277" display="https://docs.espressif.com/projects/esp-idf/en/latest/"/>
    <hyperlink ref="E280" r:id="rId278" display="https://micro.vulcanexus.org/docs/overview/hardware/"/>
    <hyperlink ref="E281" r:id="rId279" display="https://docs.auterion.com/hardware-integration/skynode-s"/>
    <hyperlink ref="E282" r:id="rId280" display="https://docs.auterion.com/hardware-integration/skynode-s/datasheet"/>
    <hyperlink ref="E283" r:id="rId281" display="https://auterion.com/product/skynode-s/"/>
    <hyperlink ref="E284" r:id="rId282" display="https://www.bitcraze.io/documentation/"/>
    <hyperlink ref="E285" r:id="rId283" display="https://github.com/aerostack2/as2_platform_dji_psdk/tree/main/"/>
    <hyperlink ref="E286" r:id="rId284" display="https://developer.dji.com/doc/payload-sdk-tutorial/en/"/>
    <hyperlink ref="E287" r:id="rId285" display="https://emanual.robotis.com/docs/en/platform/turtlebot3/overview/"/>
    <hyperlink ref="E288" r:id="rId286" display="https://docs.clearpathrobotics.com/docs/robots/outdoor_robots/jackal/"/>
    <hyperlink ref="E289" r:id="rId287" display="https://shield.ai/v-bat/"/>
    <hyperlink ref="E290" r:id="rId288" display="https://www.ga-asi.com/remotely-piloted-aircraft/avenger"/>
    <hyperlink ref="E291" r:id="rId289" display="https://www.anduril.com/fury"/>
    <hyperlink ref="E292" r:id="rId290" display="https://github.com/IMRCLab/motion_capture_tracking"/>
    <hyperlink ref="E293" r:id="rId291" display="https://arxiv.org/abs/1904.08405"/>
    <hyperlink ref="E294" r:id="rId292" display="https://buf.build/anduril/lattice-sdk/docs/main:anduril.taskmanager.v1"/>
    <hyperlink ref="E295" r:id="rId293" display="https://developer.anduril.com/reference/overview/overview"/>
    <hyperlink ref="E296" r:id="rId294" display="https://developer.anduril.com/guides/tasks/overview"/>
    <hyperlink ref="E297" r:id="rId295" display="https://developer.anduril.com/"/>
    <hyperlink ref="E298" r:id="rId296" display="https://developer.anduril.com/guides/concepts/overview"/>
    <hyperlink ref="E299" r:id="rId297" display="https://developer.anduril.com/guides/tasks/listen"/>
    <hyperlink ref="E300" r:id="rId298" display="https://developer.anduril.com/guides/entities/publish"/>
    <hyperlink ref="E301" r:id="rId299" display="https://developer.anduril.com/guides/entities/watch"/>
    <hyperlink ref="E302" r:id="rId300" display="https://github.com/anduril/lattice-sdk-python"/>
    <hyperlink ref="E303" r:id="rId301" display="https://www.anduril.com/lattice/mission-autonomy"/>
    <hyperlink ref="E304" r:id="rId302" display="https://www.anduril.com/lattice/command-and-control"/>
    <hyperlink ref="E305" r:id="rId303" display="https://www.anduril.com/news/anduril-unveils-lattice-for-mission-autonomy"/>
    <hyperlink ref="E307" r:id="rId304" display="https://www.anduril.com/news/anduril-s-lattice-a-trusted-dual-use-commercial-and-military-platform-for-public-safety-security"/>
    <hyperlink ref="E308" r:id="rId305" display="https://shield.ai/hivemind-edgeos-a-game-changer-for-autonomous-robotics/"/>
    <hyperlink ref="E309" r:id="rId306" display="https://shield.ai/edge-os/"/>
    <hyperlink ref="E310" r:id="rId307" display="https://shield.ai/from-concept-to-combat-how-hivemind-sdk-powers-next-gen-autonomy/"/>
    <hyperlink ref="E311" r:id="rId308" display="https://shield.ai/resilient-shield-strengthening-hivemind-for-safe-real-world-flight/"/>
    <hyperlink ref="E313" r:id="rId309" display="https://shield.ai/the-smartest-way-to-build-autonomy-not-alone/"/>
    <hyperlink ref="E314" r:id="rId310" display="https://www.therobotreport.com/shield-ai-raises-250m-scale-hivemind-enterprise-autonomy-developer-platform/"/>
    <hyperlink ref="E315" r:id="rId311" display="https://docs.auterion.com/"/>
    <hyperlink ref="E316" r:id="rId312" display="https://docs.auterion.com/llms.txt"/>
    <hyperlink ref="E317" r:id="rId313" display="https://docs.auterion.com/app-development/auterion-sdk"/>
    <hyperlink ref="E318" r:id="rId314" display="https://docs.px4.io/main/en/companion_computer/auterion_skynode"/>
    <hyperlink ref="E319" r:id="rId315" display="https://auterion.com/auterion-launches-nemyx-enabling-fully-coordinated-drone-swarms/"/>
    <hyperlink ref="E320" r:id="rId316" display="https://auterion.com/auterion-performs-worlds-first-multi-manufacturer-swarm-strike-demonstration/"/>
    <hyperlink ref="E321" r:id="rId317" display="https://auterion.com/auterion-global-first-drone-swarm-live-fire/"/>
    <hyperlink ref="E322" r:id="rId318" display="https://dronelife.com/2025/09/03/auterion-announces-new-drone-swarm-strike-ai/"/>
    <hyperlink ref="E323" r:id="rId319" display="https://apidocs.skydio.com/reference/introduction"/>
    <hyperlink ref="E324" r:id="rId320" display="https://support.skydio.com/hc/en-us/articles/4402745311259-Skydio-Cloud-Release-Notes"/>
    <hyperlink ref="E325" r:id="rId321" display="https://www.skydio.com/software"/>
    <hyperlink ref="E326" r:id="rId322" display="https://www.skydio.com/blog/skydio-cloud-autonomous-connected-flight-operations"/>
    <hyperlink ref="E327" r:id="rId323" display="https://www.palladyneai.com/press-releases/palladyne-ai-and-red-cat-announce-first-successful-multi-drone-collaborative-autonomous-flight/"/>
    <hyperlink ref="E328" r:id="rId324" display="https://investor.palladyneai.com/news-releases/news-release-details/palladyne-ai-and-red-cat-announce-successful-completion-cross"/>
    <hyperlink ref="E329" r:id="rId325" display="https://www.shephardmedia.com/news/uv-online/palladyne-aired-cat-to-demonstrate-capabilities-for-autonomous-drone-swarms-to-the-us-military/"/>
    <hyperlink ref="E331" r:id="rId326" display="https://www.tradingview.com/news/tradingview:fef2f30841674:0-swarmer-software-platform-for-autonomous-drone-swarms-and-battlefield-ai-files-for-nasdaq-capital-market-ipo/"/>
    <hyperlink ref="E332" r:id="rId327" display="https://www.kyivpost.com/post/60321"/>
    <hyperlink ref="E333" r:id="rId328" display="https://skybrush.io"/>
    <hyperlink ref="E334" r:id="rId329" display="https://github.com/alonfaraj/AirSim"/>
    <hyperlink ref="E335" r:id="rId330" display="https://arxiv.org/abs/2307.16788"/>
    <hyperlink ref="E336" r:id="rId331" display="https://dl.acm.org/doi/10.1145/3457356.3457362"/>
    <hyperlink ref="E337" r:id="rId332" display="https://www.darpa.mil/news/2021/offset-swarms-take-flight"/>
    <hyperlink ref="E338" r:id="rId333" display="https://www.researchgate.net/publication/367321998_DARPA_OFFSET_A_Vision_for_Advanced_Swarm_Systems_through_Agile_Technology_Development_and_ExperimentationDARPA_OFFSET_A_Vision_for_Advanced_Swarm_Systems_through_Agile_Technology_Development_and_Exper"/>
    <hyperlink ref="E339" r:id="rId334" display="https://www.darpa.mil/news/2020/offset-swarm-urban-raid"/>
    <hyperlink ref="E340" r:id="rId335" display="https://ieeexplore.ieee.org/document/10757440"/>
    <hyperlink ref="E341" r:id="rId336" display="https://dsiac.dtic.mil/articles/darpa-offset-autonomous-drone-swarms-for-warfighters/"/>
    <hyperlink ref="E342" r:id="rId337" display="https://arxiv.org/pdf/2212.03106"/>
    <hyperlink ref="E343" r:id="rId338" display="https://arxiv.org/pdf/2006.06081"/>
    <hyperlink ref="E344" r:id="rId339" display="https://www.researchgate.net/publication/349000430_ROS-NetSim_A_Framework_for_the_Integration_of_Robotic_and_Network_Simulators"/>
    <hyperlink ref="E345" r:id="rId340" display="https://par.nsf.gov/servlets/purl/10297241"/>
    <hyperlink ref="E346" r:id="rId341" display="https://par.nsf.gov/servlets/purl/10297241"/>
    <hyperlink ref="E347" r:id="rId342" display="https://arxiv.org/abs/2208.06569"/>
    <hyperlink ref="E348" r:id="rId343" display="https://arxiv.org/abs/2109.06979"/>
    <hyperlink ref="E349" r:id="rId344" display="https://github.com/intrig-unicamp/mininet-wifi"/>
    <hyperlink ref="E350" r:id="rId345" display="https://arxiv.org/abs/2505.06771"/>
    <hyperlink ref="E351" r:id="rId346" display="https://arxiv.org/abs/2603.28032"/>
    <hyperlink ref="E352" r:id="rId347" display="https://github.com/louiszengCN/CarlaAir"/>
    <hyperlink ref="E353" r:id="rId348" display="https://arxiv.org/abs/2605.31066"/>
    <hyperlink ref="E354" r:id="rId349" display="https://www.bitcraze.io/2026/09/running-tapestry-os-on-the-crazyflie-collective-behavior-without-writing-firmware/"/>
    <hyperlink ref="E355" r:id="rId350" display="https://docs.px4.io/main/en/ros2/user_guide"/>
    <hyperlink ref="E356" r:id="rId351" display="https://docs.vulcanexus.org/en/latest/rst/microros_documentation/index.html"/>
    <hyperlink ref="E357" r:id="rId352" display="https://docs.foxglove.dev/docs/fleet"/>
    <hyperlink ref="E358" r:id="rId353" display="https://arxiv.org/abs/2605.12735"/>
    <hyperlink ref="E359" r:id="rId354" display="https://arxiv.org/abs/2605.12735"/>
    <hyperlink ref="E360" r:id="rId355" display="https://github.com/castacks/PegasusSimulator-AirStack-Integration"/>
    <hyperlink ref="E361" r:id="rId356" display="https://github.com/MISTLab/ROSBuzz"/>
    <hyperlink ref="E362" r:id="rId357" display="https://github.com/OPT4SMART/disropt"/>
    <hyperlink ref="E363" r:id="rId358" display="https://shield.ai/resilient-shield-strengthening-hivemind-for-safe-real-world-flight/"/>
    <hyperlink ref="E364" r:id="rId359" display="https://www.darpa.mil/news/2021/offset-swarms-take-flight"/>
    <hyperlink ref="E365" r:id="rId360" display="https://developer.nvidia.com/newton-physics"/>
    <hyperlink ref="E366" r:id="rId361" display="https://playground.mujoco.org/"/>
    <hyperlink ref="E367" r:id="rId362" display="https://medium.com/buvcg-research/anduril-industries-deep-dive-6949c7dd41c7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36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2"/>
    <col collapsed="false" customWidth="true" hidden="false" outlineLevel="0" max="2" min="2" style="1" width="28"/>
    <col collapsed="false" customWidth="true" hidden="false" outlineLevel="0" max="3" min="3" style="1" width="60"/>
    <col collapsed="false" customWidth="true" hidden="false" outlineLevel="0" max="4" min="4" style="1" width="52"/>
    <col collapsed="false" customWidth="true" hidden="false" outlineLevel="0" max="5" min="5" style="1" width="20"/>
    <col collapsed="false" customWidth="true" hidden="false" outlineLevel="0" max="6" min="6" style="1" width="30"/>
  </cols>
  <sheetData>
    <row r="1" customFormat="false" ht="15" hidden="false" customHeight="false" outlineLevel="0" collapsed="false">
      <c r="A1" s="5" t="s">
        <v>2116</v>
      </c>
      <c r="B1" s="5" t="s">
        <v>2117</v>
      </c>
      <c r="C1" s="5" t="s">
        <v>2118</v>
      </c>
      <c r="D1" s="5" t="s">
        <v>609</v>
      </c>
      <c r="E1" s="5" t="s">
        <v>2119</v>
      </c>
      <c r="F1" s="5" t="s">
        <v>615</v>
      </c>
    </row>
    <row r="2" customFormat="false" ht="35.05" hidden="false" customHeight="false" outlineLevel="0" collapsed="false">
      <c r="A2" s="3" t="s">
        <v>2120</v>
      </c>
      <c r="B2" s="3" t="s">
        <v>2121</v>
      </c>
      <c r="C2" s="3" t="s">
        <v>2122</v>
      </c>
      <c r="D2" s="12" t="s">
        <v>2123</v>
      </c>
      <c r="E2" s="3" t="s">
        <v>2124</v>
      </c>
      <c r="F2" s="3" t="s">
        <v>695</v>
      </c>
    </row>
    <row r="3" customFormat="false" ht="35.05" hidden="false" customHeight="false" outlineLevel="0" collapsed="false">
      <c r="A3" s="3" t="s">
        <v>2125</v>
      </c>
      <c r="B3" s="3" t="s">
        <v>2121</v>
      </c>
      <c r="C3" s="3" t="s">
        <v>2126</v>
      </c>
      <c r="D3" s="12" t="s">
        <v>2127</v>
      </c>
      <c r="E3" s="3" t="s">
        <v>2124</v>
      </c>
      <c r="F3" s="3" t="s">
        <v>695</v>
      </c>
    </row>
    <row r="4" customFormat="false" ht="35.05" hidden="false" customHeight="false" outlineLevel="0" collapsed="false">
      <c r="A4" s="3" t="s">
        <v>2128</v>
      </c>
      <c r="B4" s="3" t="s">
        <v>2121</v>
      </c>
      <c r="C4" s="3" t="s">
        <v>2129</v>
      </c>
      <c r="D4" s="12" t="s">
        <v>2130</v>
      </c>
      <c r="E4" s="3" t="s">
        <v>2131</v>
      </c>
      <c r="F4" s="3" t="s">
        <v>695</v>
      </c>
    </row>
    <row r="5" customFormat="false" ht="35.05" hidden="false" customHeight="false" outlineLevel="0" collapsed="false">
      <c r="A5" s="3" t="s">
        <v>2132</v>
      </c>
      <c r="B5" s="3" t="s">
        <v>2121</v>
      </c>
      <c r="C5" s="3" t="s">
        <v>2133</v>
      </c>
      <c r="D5" s="12" t="s">
        <v>2134</v>
      </c>
      <c r="E5" s="3" t="s">
        <v>2135</v>
      </c>
      <c r="F5" s="3" t="s">
        <v>695</v>
      </c>
    </row>
    <row r="6" customFormat="false" ht="35.05" hidden="false" customHeight="false" outlineLevel="0" collapsed="false">
      <c r="A6" s="3" t="s">
        <v>2136</v>
      </c>
      <c r="B6" s="3" t="s">
        <v>2121</v>
      </c>
      <c r="C6" s="3" t="s">
        <v>2137</v>
      </c>
      <c r="D6" s="12" t="s">
        <v>2138</v>
      </c>
      <c r="E6" s="3" t="s">
        <v>2139</v>
      </c>
      <c r="F6" s="3" t="s">
        <v>695</v>
      </c>
    </row>
    <row r="7" customFormat="false" ht="23.85" hidden="false" customHeight="false" outlineLevel="0" collapsed="false">
      <c r="A7" s="3" t="s">
        <v>2140</v>
      </c>
      <c r="B7" s="3" t="s">
        <v>2121</v>
      </c>
      <c r="C7" s="3" t="s">
        <v>1508</v>
      </c>
      <c r="D7" s="12" t="s">
        <v>1509</v>
      </c>
      <c r="E7" s="3" t="s">
        <v>2141</v>
      </c>
      <c r="F7" s="3" t="s">
        <v>624</v>
      </c>
    </row>
    <row r="8" customFormat="false" ht="35.05" hidden="false" customHeight="false" outlineLevel="0" collapsed="false">
      <c r="A8" s="3" t="s">
        <v>2142</v>
      </c>
      <c r="B8" s="3" t="s">
        <v>2121</v>
      </c>
      <c r="C8" s="3" t="s">
        <v>2143</v>
      </c>
      <c r="D8" s="12" t="s">
        <v>2144</v>
      </c>
      <c r="E8" s="3" t="s">
        <v>2135</v>
      </c>
      <c r="F8" s="3" t="s">
        <v>695</v>
      </c>
    </row>
    <row r="9" customFormat="false" ht="15" hidden="false" customHeight="false" outlineLevel="0" collapsed="false">
      <c r="A9" s="3" t="s">
        <v>2145</v>
      </c>
      <c r="B9" s="3" t="s">
        <v>2121</v>
      </c>
      <c r="C9" s="3" t="s">
        <v>2146</v>
      </c>
      <c r="D9" s="12" t="s">
        <v>1505</v>
      </c>
      <c r="E9" s="3" t="s">
        <v>2124</v>
      </c>
      <c r="F9" s="3" t="s">
        <v>624</v>
      </c>
    </row>
    <row r="10" customFormat="false" ht="15" hidden="false" customHeight="false" outlineLevel="0" collapsed="false">
      <c r="A10" s="3" t="s">
        <v>2147</v>
      </c>
      <c r="B10" s="3" t="s">
        <v>2148</v>
      </c>
      <c r="C10" s="3" t="s">
        <v>780</v>
      </c>
      <c r="D10" s="12" t="s">
        <v>781</v>
      </c>
      <c r="E10" s="3" t="s">
        <v>2124</v>
      </c>
      <c r="F10" s="3" t="s">
        <v>624</v>
      </c>
    </row>
    <row r="11" customFormat="false" ht="35.05" hidden="false" customHeight="false" outlineLevel="0" collapsed="false">
      <c r="A11" s="3" t="s">
        <v>2149</v>
      </c>
      <c r="B11" s="3" t="s">
        <v>2148</v>
      </c>
      <c r="C11" s="3" t="s">
        <v>2150</v>
      </c>
      <c r="D11" s="12" t="s">
        <v>2151</v>
      </c>
      <c r="E11" s="3" t="s">
        <v>2135</v>
      </c>
      <c r="F11" s="3" t="s">
        <v>695</v>
      </c>
    </row>
    <row r="12" customFormat="false" ht="35.05" hidden="false" customHeight="false" outlineLevel="0" collapsed="false">
      <c r="A12" s="3" t="s">
        <v>2152</v>
      </c>
      <c r="B12" s="3" t="s">
        <v>2148</v>
      </c>
      <c r="C12" s="3" t="s">
        <v>2153</v>
      </c>
      <c r="D12" s="12" t="s">
        <v>2154</v>
      </c>
      <c r="E12" s="3" t="s">
        <v>2135</v>
      </c>
      <c r="F12" s="3" t="s">
        <v>695</v>
      </c>
    </row>
    <row r="13" customFormat="false" ht="35.05" hidden="false" customHeight="false" outlineLevel="0" collapsed="false">
      <c r="A13" s="3" t="s">
        <v>2155</v>
      </c>
      <c r="B13" s="3" t="s">
        <v>2148</v>
      </c>
      <c r="C13" s="3" t="s">
        <v>2153</v>
      </c>
      <c r="D13" s="12" t="s">
        <v>2154</v>
      </c>
      <c r="E13" s="3" t="s">
        <v>2135</v>
      </c>
      <c r="F13" s="3" t="s">
        <v>695</v>
      </c>
    </row>
    <row r="14" customFormat="false" ht="35.05" hidden="false" customHeight="false" outlineLevel="0" collapsed="false">
      <c r="A14" s="3" t="s">
        <v>2156</v>
      </c>
      <c r="B14" s="3" t="s">
        <v>2157</v>
      </c>
      <c r="C14" s="3" t="s">
        <v>2158</v>
      </c>
      <c r="D14" s="12" t="s">
        <v>2159</v>
      </c>
      <c r="E14" s="3" t="s">
        <v>2160</v>
      </c>
      <c r="F14" s="3" t="s">
        <v>695</v>
      </c>
    </row>
    <row r="15" customFormat="false" ht="35.05" hidden="false" customHeight="false" outlineLevel="0" collapsed="false">
      <c r="A15" s="3" t="s">
        <v>2161</v>
      </c>
      <c r="B15" s="3" t="s">
        <v>2157</v>
      </c>
      <c r="C15" s="3" t="s">
        <v>2162</v>
      </c>
      <c r="D15" s="12" t="s">
        <v>2163</v>
      </c>
      <c r="E15" s="3" t="s">
        <v>2131</v>
      </c>
      <c r="F15" s="3" t="s">
        <v>695</v>
      </c>
    </row>
    <row r="16" customFormat="false" ht="35.05" hidden="false" customHeight="false" outlineLevel="0" collapsed="false">
      <c r="A16" s="3" t="s">
        <v>2164</v>
      </c>
      <c r="B16" s="3" t="s">
        <v>2157</v>
      </c>
      <c r="C16" s="3" t="s">
        <v>2165</v>
      </c>
      <c r="D16" s="12" t="s">
        <v>2166</v>
      </c>
      <c r="E16" s="3" t="s">
        <v>2160</v>
      </c>
      <c r="F16" s="3" t="s">
        <v>695</v>
      </c>
    </row>
    <row r="17" customFormat="false" ht="35.05" hidden="false" customHeight="false" outlineLevel="0" collapsed="false">
      <c r="A17" s="3" t="s">
        <v>2167</v>
      </c>
      <c r="B17" s="3" t="s">
        <v>2157</v>
      </c>
      <c r="C17" s="3" t="s">
        <v>2168</v>
      </c>
      <c r="D17" s="12" t="s">
        <v>2169</v>
      </c>
      <c r="E17" s="3" t="s">
        <v>2135</v>
      </c>
      <c r="F17" s="3" t="s">
        <v>695</v>
      </c>
    </row>
    <row r="18" customFormat="false" ht="35.05" hidden="false" customHeight="false" outlineLevel="0" collapsed="false">
      <c r="A18" s="3" t="s">
        <v>2170</v>
      </c>
      <c r="B18" s="3" t="s">
        <v>2157</v>
      </c>
      <c r="C18" s="3" t="s">
        <v>2171</v>
      </c>
      <c r="D18" s="12" t="s">
        <v>2172</v>
      </c>
      <c r="E18" s="3" t="s">
        <v>2135</v>
      </c>
      <c r="F18" s="3" t="s">
        <v>695</v>
      </c>
    </row>
    <row r="19" customFormat="false" ht="35.05" hidden="false" customHeight="false" outlineLevel="0" collapsed="false">
      <c r="A19" s="3" t="s">
        <v>2173</v>
      </c>
      <c r="B19" s="3" t="s">
        <v>2157</v>
      </c>
      <c r="C19" s="3" t="s">
        <v>2174</v>
      </c>
      <c r="D19" s="12" t="s">
        <v>2175</v>
      </c>
      <c r="E19" s="3" t="s">
        <v>2135</v>
      </c>
      <c r="F19" s="3" t="s">
        <v>695</v>
      </c>
    </row>
    <row r="20" customFormat="false" ht="35.05" hidden="false" customHeight="false" outlineLevel="0" collapsed="false">
      <c r="A20" s="3" t="s">
        <v>2176</v>
      </c>
      <c r="B20" s="3" t="s">
        <v>2157</v>
      </c>
      <c r="C20" s="3" t="s">
        <v>2177</v>
      </c>
      <c r="D20" s="12" t="s">
        <v>2178</v>
      </c>
      <c r="E20" s="3" t="s">
        <v>2135</v>
      </c>
      <c r="F20" s="3" t="s">
        <v>695</v>
      </c>
    </row>
    <row r="21" customFormat="false" ht="35.05" hidden="false" customHeight="false" outlineLevel="0" collapsed="false">
      <c r="A21" s="3" t="s">
        <v>2179</v>
      </c>
      <c r="B21" s="3" t="s">
        <v>2157</v>
      </c>
      <c r="C21" s="3" t="s">
        <v>2180</v>
      </c>
      <c r="D21" s="12" t="s">
        <v>2181</v>
      </c>
      <c r="E21" s="3" t="s">
        <v>2131</v>
      </c>
      <c r="F21" s="3" t="s">
        <v>695</v>
      </c>
    </row>
    <row r="22" customFormat="false" ht="35.05" hidden="false" customHeight="false" outlineLevel="0" collapsed="false">
      <c r="A22" s="3" t="s">
        <v>2182</v>
      </c>
      <c r="B22" s="3" t="s">
        <v>2183</v>
      </c>
      <c r="C22" s="3" t="s">
        <v>2184</v>
      </c>
      <c r="D22" s="12" t="s">
        <v>2185</v>
      </c>
      <c r="E22" s="3" t="s">
        <v>2135</v>
      </c>
      <c r="F22" s="3" t="s">
        <v>695</v>
      </c>
    </row>
    <row r="23" customFormat="false" ht="35.05" hidden="false" customHeight="false" outlineLevel="0" collapsed="false">
      <c r="A23" s="3" t="s">
        <v>2186</v>
      </c>
      <c r="B23" s="3" t="s">
        <v>2183</v>
      </c>
      <c r="C23" s="3" t="s">
        <v>2184</v>
      </c>
      <c r="D23" s="12" t="s">
        <v>2185</v>
      </c>
      <c r="E23" s="3" t="s">
        <v>2135</v>
      </c>
      <c r="F23" s="3" t="s">
        <v>695</v>
      </c>
    </row>
    <row r="24" customFormat="false" ht="23.85" hidden="false" customHeight="false" outlineLevel="0" collapsed="false">
      <c r="A24" s="3" t="s">
        <v>2187</v>
      </c>
      <c r="B24" s="3" t="s">
        <v>2183</v>
      </c>
      <c r="C24" s="3" t="s">
        <v>1037</v>
      </c>
      <c r="D24" s="12" t="s">
        <v>1038</v>
      </c>
      <c r="E24" s="3" t="s">
        <v>2188</v>
      </c>
      <c r="F24" s="3" t="s">
        <v>624</v>
      </c>
    </row>
    <row r="25" customFormat="false" ht="15" hidden="false" customHeight="false" outlineLevel="0" collapsed="false">
      <c r="A25" s="3" t="s">
        <v>2189</v>
      </c>
      <c r="B25" s="3" t="s">
        <v>2183</v>
      </c>
      <c r="C25" s="3" t="s">
        <v>1025</v>
      </c>
      <c r="D25" s="12" t="s">
        <v>1026</v>
      </c>
      <c r="E25" s="3" t="s">
        <v>2141</v>
      </c>
      <c r="F25" s="3" t="s">
        <v>624</v>
      </c>
    </row>
    <row r="26" customFormat="false" ht="35.05" hidden="false" customHeight="false" outlineLevel="0" collapsed="false">
      <c r="A26" s="3" t="s">
        <v>2190</v>
      </c>
      <c r="B26" s="3" t="s">
        <v>2183</v>
      </c>
      <c r="C26" s="3" t="s">
        <v>2191</v>
      </c>
      <c r="D26" s="12" t="s">
        <v>2192</v>
      </c>
      <c r="E26" s="3" t="s">
        <v>2131</v>
      </c>
      <c r="F26" s="3" t="s">
        <v>695</v>
      </c>
    </row>
    <row r="27" customFormat="false" ht="35.05" hidden="false" customHeight="false" outlineLevel="0" collapsed="false">
      <c r="A27" s="3" t="s">
        <v>2193</v>
      </c>
      <c r="B27" s="3" t="s">
        <v>2183</v>
      </c>
      <c r="C27" s="3" t="s">
        <v>2194</v>
      </c>
      <c r="D27" s="12" t="s">
        <v>2195</v>
      </c>
      <c r="E27" s="3" t="s">
        <v>2135</v>
      </c>
      <c r="F27" s="3" t="s">
        <v>695</v>
      </c>
    </row>
    <row r="28" customFormat="false" ht="35.05" hidden="false" customHeight="false" outlineLevel="0" collapsed="false">
      <c r="A28" s="3" t="s">
        <v>2196</v>
      </c>
      <c r="B28" s="3" t="s">
        <v>2183</v>
      </c>
      <c r="C28" s="3" t="s">
        <v>2197</v>
      </c>
      <c r="D28" s="12" t="s">
        <v>2198</v>
      </c>
      <c r="E28" s="3" t="s">
        <v>1066</v>
      </c>
      <c r="F28" s="3" t="s">
        <v>695</v>
      </c>
    </row>
    <row r="29" customFormat="false" ht="23.85" hidden="false" customHeight="false" outlineLevel="0" collapsed="false">
      <c r="A29" s="3" t="s">
        <v>2199</v>
      </c>
      <c r="B29" s="3" t="s">
        <v>2200</v>
      </c>
      <c r="C29" s="3" t="s">
        <v>2201</v>
      </c>
      <c r="D29" s="12" t="s">
        <v>1058</v>
      </c>
      <c r="E29" s="3" t="s">
        <v>2135</v>
      </c>
      <c r="F29" s="3" t="s">
        <v>755</v>
      </c>
    </row>
    <row r="30" customFormat="false" ht="23.85" hidden="false" customHeight="false" outlineLevel="0" collapsed="false">
      <c r="A30" s="3" t="s">
        <v>2202</v>
      </c>
      <c r="B30" s="3" t="s">
        <v>2200</v>
      </c>
      <c r="C30" s="3" t="s">
        <v>2203</v>
      </c>
      <c r="D30" s="12" t="s">
        <v>750</v>
      </c>
      <c r="E30" s="3" t="s">
        <v>2135</v>
      </c>
      <c r="F30" s="3" t="s">
        <v>624</v>
      </c>
    </row>
    <row r="31" customFormat="false" ht="35.05" hidden="false" customHeight="false" outlineLevel="0" collapsed="false">
      <c r="A31" s="3" t="s">
        <v>2204</v>
      </c>
      <c r="B31" s="3" t="s">
        <v>2200</v>
      </c>
      <c r="C31" s="3" t="s">
        <v>2205</v>
      </c>
      <c r="D31" s="12" t="s">
        <v>2206</v>
      </c>
      <c r="E31" s="3" t="s">
        <v>2135</v>
      </c>
      <c r="F31" s="3" t="s">
        <v>695</v>
      </c>
    </row>
    <row r="32" customFormat="false" ht="23.85" hidden="false" customHeight="false" outlineLevel="0" collapsed="false">
      <c r="A32" s="3" t="s">
        <v>2207</v>
      </c>
      <c r="B32" s="3" t="s">
        <v>2200</v>
      </c>
      <c r="C32" s="3" t="s">
        <v>2208</v>
      </c>
      <c r="D32" s="12" t="s">
        <v>2209</v>
      </c>
      <c r="E32" s="3" t="s">
        <v>2141</v>
      </c>
      <c r="F32" s="3" t="s">
        <v>755</v>
      </c>
    </row>
    <row r="33" customFormat="false" ht="35.05" hidden="false" customHeight="false" outlineLevel="0" collapsed="false">
      <c r="A33" s="3" t="s">
        <v>2210</v>
      </c>
      <c r="B33" s="3" t="s">
        <v>2200</v>
      </c>
      <c r="C33" s="3" t="s">
        <v>2211</v>
      </c>
      <c r="D33" s="12" t="s">
        <v>2212</v>
      </c>
      <c r="E33" s="3" t="s">
        <v>2135</v>
      </c>
      <c r="F33" s="3" t="s">
        <v>695</v>
      </c>
    </row>
    <row r="34" customFormat="false" ht="35.05" hidden="false" customHeight="false" outlineLevel="0" collapsed="false">
      <c r="A34" s="3" t="s">
        <v>2213</v>
      </c>
      <c r="B34" s="3" t="s">
        <v>2200</v>
      </c>
      <c r="C34" s="3" t="s">
        <v>2214</v>
      </c>
      <c r="D34" s="12" t="s">
        <v>2215</v>
      </c>
      <c r="E34" s="3" t="s">
        <v>2135</v>
      </c>
      <c r="F34" s="3" t="s">
        <v>695</v>
      </c>
    </row>
    <row r="35" customFormat="false" ht="35.05" hidden="false" customHeight="false" outlineLevel="0" collapsed="false">
      <c r="A35" s="3" t="s">
        <v>2216</v>
      </c>
      <c r="B35" s="3" t="s">
        <v>2217</v>
      </c>
      <c r="C35" s="3" t="s">
        <v>2218</v>
      </c>
      <c r="D35" s="12" t="s">
        <v>2219</v>
      </c>
      <c r="E35" s="3" t="s">
        <v>2135</v>
      </c>
      <c r="F35" s="3" t="s">
        <v>695</v>
      </c>
    </row>
    <row r="36" customFormat="false" ht="35.05" hidden="false" customHeight="false" outlineLevel="0" collapsed="false">
      <c r="A36" s="3" t="s">
        <v>2220</v>
      </c>
      <c r="B36" s="3" t="s">
        <v>2217</v>
      </c>
      <c r="C36" s="3" t="s">
        <v>2221</v>
      </c>
      <c r="D36" s="12" t="s">
        <v>2222</v>
      </c>
      <c r="E36" s="3" t="s">
        <v>2223</v>
      </c>
      <c r="F36" s="3" t="s">
        <v>695</v>
      </c>
    </row>
    <row r="37" customFormat="false" ht="35.05" hidden="false" customHeight="false" outlineLevel="0" collapsed="false">
      <c r="A37" s="3" t="s">
        <v>2224</v>
      </c>
      <c r="B37" s="3" t="s">
        <v>2217</v>
      </c>
      <c r="C37" s="3" t="s">
        <v>2225</v>
      </c>
      <c r="D37" s="12" t="s">
        <v>2226</v>
      </c>
      <c r="E37" s="3" t="s">
        <v>2135</v>
      </c>
      <c r="F37" s="3" t="s">
        <v>695</v>
      </c>
    </row>
    <row r="38" customFormat="false" ht="35.05" hidden="false" customHeight="false" outlineLevel="0" collapsed="false">
      <c r="A38" s="3" t="s">
        <v>2227</v>
      </c>
      <c r="B38" s="3" t="s">
        <v>2217</v>
      </c>
      <c r="C38" s="3" t="s">
        <v>2228</v>
      </c>
      <c r="D38" s="12" t="s">
        <v>2229</v>
      </c>
      <c r="E38" s="3" t="s">
        <v>2135</v>
      </c>
      <c r="F38" s="3" t="s">
        <v>695</v>
      </c>
    </row>
    <row r="39" customFormat="false" ht="23.85" hidden="false" customHeight="false" outlineLevel="0" collapsed="false">
      <c r="A39" s="3" t="s">
        <v>2230</v>
      </c>
      <c r="B39" s="3" t="s">
        <v>2217</v>
      </c>
      <c r="C39" s="3" t="s">
        <v>2231</v>
      </c>
      <c r="D39" s="12" t="s">
        <v>2232</v>
      </c>
      <c r="E39" s="3" t="s">
        <v>2131</v>
      </c>
      <c r="F39" s="3" t="s">
        <v>755</v>
      </c>
    </row>
    <row r="40" customFormat="false" ht="35.05" hidden="false" customHeight="false" outlineLevel="0" collapsed="false">
      <c r="A40" s="3" t="s">
        <v>2233</v>
      </c>
      <c r="B40" s="3" t="s">
        <v>2217</v>
      </c>
      <c r="C40" s="3" t="s">
        <v>2234</v>
      </c>
      <c r="D40" s="12" t="s">
        <v>2235</v>
      </c>
      <c r="E40" s="3" t="s">
        <v>932</v>
      </c>
      <c r="F40" s="3" t="s">
        <v>695</v>
      </c>
    </row>
    <row r="41" customFormat="false" ht="35.05" hidden="false" customHeight="false" outlineLevel="0" collapsed="false">
      <c r="A41" s="3" t="s">
        <v>2236</v>
      </c>
      <c r="B41" s="3" t="s">
        <v>2217</v>
      </c>
      <c r="C41" s="3" t="s">
        <v>2237</v>
      </c>
      <c r="D41" s="12" t="s">
        <v>2238</v>
      </c>
      <c r="E41" s="3" t="s">
        <v>932</v>
      </c>
      <c r="F41" s="3" t="s">
        <v>695</v>
      </c>
    </row>
    <row r="42" customFormat="false" ht="35.05" hidden="false" customHeight="false" outlineLevel="0" collapsed="false">
      <c r="A42" s="3" t="s">
        <v>2239</v>
      </c>
      <c r="B42" s="3" t="s">
        <v>2240</v>
      </c>
      <c r="C42" s="3" t="s">
        <v>2241</v>
      </c>
      <c r="D42" s="12" t="s">
        <v>2242</v>
      </c>
      <c r="E42" s="3" t="s">
        <v>2139</v>
      </c>
      <c r="F42" s="3" t="s">
        <v>695</v>
      </c>
    </row>
    <row r="43" customFormat="false" ht="15" hidden="false" customHeight="false" outlineLevel="0" collapsed="false">
      <c r="A43" s="3" t="s">
        <v>2243</v>
      </c>
      <c r="B43" s="3" t="s">
        <v>2240</v>
      </c>
      <c r="C43" s="3" t="s">
        <v>2244</v>
      </c>
      <c r="D43" s="12" t="s">
        <v>1110</v>
      </c>
      <c r="E43" s="3" t="s">
        <v>2245</v>
      </c>
      <c r="F43" s="3" t="s">
        <v>624</v>
      </c>
    </row>
    <row r="44" customFormat="false" ht="23.85" hidden="false" customHeight="false" outlineLevel="0" collapsed="false">
      <c r="A44" s="3" t="s">
        <v>2246</v>
      </c>
      <c r="B44" s="3" t="s">
        <v>2240</v>
      </c>
      <c r="C44" s="3" t="s">
        <v>2247</v>
      </c>
      <c r="D44" s="12" t="s">
        <v>2248</v>
      </c>
      <c r="E44" s="3" t="s">
        <v>2141</v>
      </c>
      <c r="F44" s="3" t="s">
        <v>755</v>
      </c>
    </row>
    <row r="45" customFormat="false" ht="35.05" hidden="false" customHeight="false" outlineLevel="0" collapsed="false">
      <c r="A45" s="3" t="s">
        <v>2249</v>
      </c>
      <c r="B45" s="3" t="s">
        <v>2240</v>
      </c>
      <c r="C45" s="3" t="s">
        <v>2250</v>
      </c>
      <c r="D45" s="12" t="s">
        <v>1690</v>
      </c>
      <c r="E45" s="3" t="s">
        <v>2135</v>
      </c>
      <c r="F45" s="3" t="s">
        <v>695</v>
      </c>
    </row>
    <row r="46" customFormat="false" ht="23.85" hidden="false" customHeight="false" outlineLevel="0" collapsed="false">
      <c r="A46" s="3" t="s">
        <v>2251</v>
      </c>
      <c r="B46" s="3" t="s">
        <v>2240</v>
      </c>
      <c r="C46" s="3" t="s">
        <v>1685</v>
      </c>
      <c r="D46" s="12" t="s">
        <v>1686</v>
      </c>
      <c r="E46" s="3" t="s">
        <v>2141</v>
      </c>
      <c r="F46" s="3" t="s">
        <v>755</v>
      </c>
    </row>
    <row r="47" customFormat="false" ht="35.05" hidden="false" customHeight="false" outlineLevel="0" collapsed="false">
      <c r="A47" s="3" t="s">
        <v>2252</v>
      </c>
      <c r="B47" s="3" t="s">
        <v>2253</v>
      </c>
      <c r="C47" s="3" t="s">
        <v>2254</v>
      </c>
      <c r="D47" s="12" t="s">
        <v>2255</v>
      </c>
      <c r="E47" s="3" t="s">
        <v>2135</v>
      </c>
      <c r="F47" s="3" t="s">
        <v>695</v>
      </c>
    </row>
    <row r="48" customFormat="false" ht="35.05" hidden="false" customHeight="false" outlineLevel="0" collapsed="false">
      <c r="A48" s="3" t="s">
        <v>2256</v>
      </c>
      <c r="B48" s="3" t="s">
        <v>2253</v>
      </c>
      <c r="C48" s="3" t="s">
        <v>2257</v>
      </c>
      <c r="D48" s="12" t="s">
        <v>2258</v>
      </c>
      <c r="E48" s="3" t="s">
        <v>2135</v>
      </c>
      <c r="F48" s="3" t="s">
        <v>695</v>
      </c>
    </row>
    <row r="49" customFormat="false" ht="23.85" hidden="false" customHeight="false" outlineLevel="0" collapsed="false">
      <c r="A49" s="3" t="s">
        <v>2259</v>
      </c>
      <c r="B49" s="3" t="s">
        <v>2253</v>
      </c>
      <c r="C49" s="3" t="s">
        <v>2260</v>
      </c>
      <c r="D49" s="12" t="s">
        <v>2261</v>
      </c>
      <c r="E49" s="3" t="s">
        <v>2131</v>
      </c>
      <c r="F49" s="3" t="s">
        <v>755</v>
      </c>
    </row>
    <row r="50" customFormat="false" ht="35.05" hidden="false" customHeight="false" outlineLevel="0" collapsed="false">
      <c r="A50" s="3" t="s">
        <v>2262</v>
      </c>
      <c r="B50" s="3" t="s">
        <v>2253</v>
      </c>
      <c r="C50" s="3" t="s">
        <v>2263</v>
      </c>
      <c r="D50" s="12" t="s">
        <v>2264</v>
      </c>
      <c r="E50" s="3" t="s">
        <v>2139</v>
      </c>
      <c r="F50" s="3" t="s">
        <v>695</v>
      </c>
    </row>
    <row r="51" customFormat="false" ht="35.05" hidden="false" customHeight="false" outlineLevel="0" collapsed="false">
      <c r="A51" s="3" t="s">
        <v>2265</v>
      </c>
      <c r="B51" s="3" t="s">
        <v>2253</v>
      </c>
      <c r="C51" s="3" t="s">
        <v>2266</v>
      </c>
      <c r="D51" s="12" t="s">
        <v>2267</v>
      </c>
      <c r="E51" s="3" t="s">
        <v>932</v>
      </c>
      <c r="F51" s="3" t="s">
        <v>695</v>
      </c>
    </row>
    <row r="52" customFormat="false" ht="35.05" hidden="false" customHeight="false" outlineLevel="0" collapsed="false">
      <c r="A52" s="3" t="s">
        <v>2268</v>
      </c>
      <c r="B52" s="3" t="s">
        <v>2253</v>
      </c>
      <c r="C52" s="3" t="s">
        <v>2269</v>
      </c>
      <c r="D52" s="12" t="s">
        <v>2270</v>
      </c>
      <c r="E52" s="3" t="s">
        <v>2135</v>
      </c>
      <c r="F52" s="3" t="s">
        <v>695</v>
      </c>
    </row>
    <row r="53" customFormat="false" ht="35.05" hidden="false" customHeight="false" outlineLevel="0" collapsed="false">
      <c r="A53" s="3" t="s">
        <v>2271</v>
      </c>
      <c r="B53" s="3" t="s">
        <v>2272</v>
      </c>
      <c r="C53" s="3" t="s">
        <v>2273</v>
      </c>
      <c r="D53" s="12" t="s">
        <v>2274</v>
      </c>
      <c r="E53" s="3" t="s">
        <v>2139</v>
      </c>
      <c r="F53" s="3" t="s">
        <v>695</v>
      </c>
    </row>
    <row r="54" customFormat="false" ht="35.05" hidden="false" customHeight="false" outlineLevel="0" collapsed="false">
      <c r="A54" s="3" t="s">
        <v>2275</v>
      </c>
      <c r="B54" s="3" t="s">
        <v>2272</v>
      </c>
      <c r="C54" s="3" t="s">
        <v>2276</v>
      </c>
      <c r="D54" s="12" t="s">
        <v>2277</v>
      </c>
      <c r="E54" s="3" t="s">
        <v>2135</v>
      </c>
      <c r="F54" s="3" t="s">
        <v>695</v>
      </c>
    </row>
    <row r="55" customFormat="false" ht="35.05" hidden="false" customHeight="false" outlineLevel="0" collapsed="false">
      <c r="A55" s="3" t="s">
        <v>2278</v>
      </c>
      <c r="B55" s="3" t="s">
        <v>2272</v>
      </c>
      <c r="C55" s="3" t="s">
        <v>2279</v>
      </c>
      <c r="D55" s="12" t="s">
        <v>2280</v>
      </c>
      <c r="E55" s="3" t="s">
        <v>2139</v>
      </c>
      <c r="F55" s="3" t="s">
        <v>695</v>
      </c>
    </row>
    <row r="56" customFormat="false" ht="15" hidden="false" customHeight="false" outlineLevel="0" collapsed="false">
      <c r="A56" s="3" t="s">
        <v>2281</v>
      </c>
      <c r="B56" s="3" t="s">
        <v>2282</v>
      </c>
      <c r="C56" s="3" t="s">
        <v>2283</v>
      </c>
      <c r="D56" s="12" t="s">
        <v>1702</v>
      </c>
      <c r="E56" s="3" t="s">
        <v>2141</v>
      </c>
      <c r="F56" s="3" t="s">
        <v>624</v>
      </c>
    </row>
    <row r="57" customFormat="false" ht="15" hidden="false" customHeight="false" outlineLevel="0" collapsed="false">
      <c r="A57" s="3" t="s">
        <v>2284</v>
      </c>
      <c r="B57" s="3" t="s">
        <v>2282</v>
      </c>
      <c r="C57" s="3" t="s">
        <v>2285</v>
      </c>
      <c r="D57" s="12" t="s">
        <v>2286</v>
      </c>
      <c r="E57" s="3" t="s">
        <v>2124</v>
      </c>
      <c r="F57" s="3" t="s">
        <v>624</v>
      </c>
    </row>
    <row r="58" customFormat="false" ht="35.05" hidden="false" customHeight="false" outlineLevel="0" collapsed="false">
      <c r="A58" s="3" t="s">
        <v>2287</v>
      </c>
      <c r="B58" s="3" t="s">
        <v>2282</v>
      </c>
      <c r="C58" s="3" t="s">
        <v>2288</v>
      </c>
      <c r="D58" s="12" t="s">
        <v>2289</v>
      </c>
      <c r="E58" s="3" t="s">
        <v>2139</v>
      </c>
      <c r="F58" s="3" t="s">
        <v>695</v>
      </c>
    </row>
    <row r="59" customFormat="false" ht="23.85" hidden="false" customHeight="false" outlineLevel="0" collapsed="false">
      <c r="A59" s="3" t="s">
        <v>2290</v>
      </c>
      <c r="B59" s="3" t="s">
        <v>2282</v>
      </c>
      <c r="C59" s="3" t="s">
        <v>2291</v>
      </c>
      <c r="D59" s="12" t="s">
        <v>2005</v>
      </c>
      <c r="E59" s="3" t="s">
        <v>2141</v>
      </c>
      <c r="F59" s="3" t="s">
        <v>624</v>
      </c>
    </row>
  </sheetData>
  <hyperlinks>
    <hyperlink ref="D2" r:id="rId1" display="https://docs.px4.io/main/en/simulation/"/>
    <hyperlink ref="D3" r:id="rId2" display="https://docs.px4.io/main/en/simulation/hitl.html"/>
    <hyperlink ref="D4" r:id="rId3" display="https://arxiv.org/abs/2009.13303"/>
    <hyperlink ref="D5" r:id="rId4" display="https://arxiv.org/abs/1703.06907"/>
    <hyperlink ref="D6" r:id="rId5" display="https://en.wikipedia.org/wiki/System_identification"/>
    <hyperlink ref="D7" r:id="rId6" display="https://arxiv.org/abs/2501.00372"/>
    <hyperlink ref="D8" r:id="rId7" display="https://arxiv.org/abs/2308.04079"/>
    <hyperlink ref="D9" r:id="rId8" display="https://nvlabs.github.io/sionna/rt"/>
    <hyperlink ref="D10" r:id="rId9" display="https://github.com/NVIDIA-ISAAC-ROS/isaac_ros_visual_slam"/>
    <hyperlink ref="D11" r:id="rId10" display="https://arxiv.org/abs/2007.11898"/>
    <hyperlink ref="D12" r:id="rId11" display="https://arxiv.org/abs/2106.14386"/>
    <hyperlink ref="D13" r:id="rId12" display="https://arxiv.org/abs/2106.14386"/>
    <hyperlink ref="D14" r:id="rId13" display="http://incompleteideas.net/book/the-book-2nd.html"/>
    <hyperlink ref="D15" r:id="rId14" display="https://arxiv.org/abs/1811.06711"/>
    <hyperlink ref="D16" r:id="rId15" display="https://www.marl-book.com/"/>
    <hyperlink ref="D17" r:id="rId16" display="https://arxiv.org/abs/1602.05629"/>
    <hyperlink ref="D18" r:id="rId17" display="https://arxiv.org/abs/1708.08611"/>
    <hyperlink ref="D19" r:id="rId18" display="https://arxiv.org/abs/1503.02531"/>
    <hyperlink ref="D20" r:id="rId19" display="https://arxiv.org/abs/1712.05877"/>
    <hyperlink ref="D21" r:id="rId20" display="https://arxiv.org/abs/2103.04505"/>
    <hyperlink ref="D22" r:id="rId21" display="https://doi.org/10.1109/TRO.2009.2022423"/>
    <hyperlink ref="D23" r:id="rId22" display="https://doi.org/10.1109/TRO.2009.2022423"/>
    <hyperlink ref="D24" r:id="rId23" display="https://arxiv.org/abs/2309.04257"/>
    <hyperlink ref="D25" r:id="rId24" display="https://arxiv.org/abs/2010.13431"/>
    <hyperlink ref="D26" r:id="rId25" display="https://doi.org/10.1016/j.automatica.2014.10.022"/>
    <hyperlink ref="D27" r:id="rId26" display="https://doi.org/10.1109/TAC.2005.864190"/>
    <hyperlink ref="D28" r:id="rId27" display="https://doi.org/10.1109/CDC.2012.6425820"/>
    <hyperlink ref="D29" r:id="rId28" display="https://arxiv.org/abs/1507.05946"/>
    <hyperlink ref="D30" r:id="rId29" display="https://apps.dtic.mil/sti/tr/pdf/ADA559856.pdf"/>
    <hyperlink ref="D31" r:id="rId30" display="https://doi.org/10.1109/TRA.2004.824698"/>
    <hyperlink ref="D32" r:id="rId31" display="https://arxiv.org/abs/2209.04808"/>
    <hyperlink ref="D33" r:id="rId32" display="https://arxiv.org/abs/1703.06114"/>
    <hyperlink ref="D34" r:id="rId33" display="https://arxiv.org/abs/1912.06095"/>
    <hyperlink ref="D35" r:id="rId34" display="https://hal.inria.fr/inria-00609399"/>
    <hyperlink ref="D36" r:id="rId35" display="https://doi.org/10.1145/1435417.1435432"/>
    <hyperlink ref="D37" r:id="rId36" display="https://doi.org/10.1145/41840.41841"/>
    <hyperlink ref="D38" r:id="rId37" display="https://doi.org/10.1109/INFCOM.2012.6195689"/>
    <hyperlink ref="D39" r:id="rId38" display="https://arxiv.org/abs/2508.07720"/>
    <hyperlink ref="D40" r:id="rId39" display="https://www.rfc-editor.org/rfc/rfc9315"/>
    <hyperlink ref="D41" r:id="rId40" display="https://www.rfc-editor.org/rfc/rfc2501"/>
    <hyperlink ref="D42" r:id="rId41" display="https://en.wikipedia.org/wiki/Linear_temporal_logic"/>
    <hyperlink ref="D43" r:id="rId42" display="https://github.com/afrl-rq/OpenUxAS"/>
    <hyperlink ref="D44" r:id="rId43" display="https://arxiv.org/abs/2501.16539"/>
    <hyperlink ref="D45" r:id="rId44" display="https://arxiv.org/abs/2307.01928"/>
    <hyperlink ref="D46" r:id="rId45" display="https://arxiv.org/abs/2309.10062"/>
    <hyperlink ref="D47" r:id="rId46" display="https://pmg.csail.mit.edu/papers/osdi99.pdf"/>
    <hyperlink ref="D48" r:id="rId47" display="https://doi.org/10.1109/JSAC.2013.130413"/>
    <hyperlink ref="D49" r:id="rId48" display="https://arxiv.org/abs/2108.13154"/>
    <hyperlink ref="D50" r:id="rId49" display="https://en.wikipedia.org/wiki/Physical_unclonable_function"/>
    <hyperlink ref="D51" r:id="rId50" display="https://csrc.nist.gov/pubs/sp/800/207/final"/>
    <hyperlink ref="D52" r:id="rId51" display="https://arxiv.org/abs/1412.6572"/>
    <hyperlink ref="D53" r:id="rId52" display="https://en.wikipedia.org/wiki/Runtime_verification"/>
    <hyperlink ref="D54" r:id="rId53" display="https://doi.org/10.1109/MS.2001.936213"/>
    <hyperlink ref="D55" r:id="rId54" display="https://en.wikipedia.org/wiki/Statistical_model_checking"/>
    <hyperlink ref="D56" r:id="rId55" display="https://arxiv.org/abs/2503.13784"/>
    <hyperlink ref="D57" r:id="rId56" display="https://docs.ros.org/en/jazzy/Concepts/About-Quality-of-Service-Settings.html"/>
    <hyperlink ref="D58" r:id="rId57" display="https://en.wikipedia.org/wiki/Energy_harvesting"/>
    <hyperlink ref="D59" r:id="rId58" display="https://arxiv.org/abs/2307.16788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59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34"/>
    <col collapsed="false" customWidth="true" hidden="false" outlineLevel="0" max="2" min="2" style="1" width="100"/>
    <col collapsed="false" customWidth="true" hidden="false" outlineLevel="0" max="3" min="3" style="1" width="40"/>
  </cols>
  <sheetData>
    <row r="1" customFormat="false" ht="15" hidden="false" customHeight="false" outlineLevel="0" collapsed="false">
      <c r="A1" s="5" t="s">
        <v>612</v>
      </c>
      <c r="B1" s="5" t="s">
        <v>2292</v>
      </c>
      <c r="C1" s="5" t="s">
        <v>2293</v>
      </c>
    </row>
    <row r="2" customFormat="false" ht="23.85" hidden="false" customHeight="false" outlineLevel="0" collapsed="false">
      <c r="A2" s="3" t="s">
        <v>623</v>
      </c>
      <c r="B2" s="3" t="s">
        <v>2294</v>
      </c>
      <c r="C2" s="3" t="s">
        <v>2295</v>
      </c>
    </row>
    <row r="3" customFormat="false" ht="23.85" hidden="false" customHeight="false" outlineLevel="0" collapsed="false">
      <c r="A3" s="3" t="s">
        <v>650</v>
      </c>
      <c r="B3" s="3" t="s">
        <v>2296</v>
      </c>
      <c r="C3" s="3" t="s">
        <v>2297</v>
      </c>
    </row>
    <row r="4" customFormat="false" ht="23.85" hidden="false" customHeight="false" outlineLevel="0" collapsed="false">
      <c r="A4" s="3" t="s">
        <v>685</v>
      </c>
      <c r="B4" s="3" t="s">
        <v>2298</v>
      </c>
      <c r="C4" s="3" t="s">
        <v>2299</v>
      </c>
    </row>
    <row r="5" customFormat="false" ht="23.85" hidden="false" customHeight="false" outlineLevel="0" collapsed="false">
      <c r="A5" s="3" t="s">
        <v>998</v>
      </c>
      <c r="B5" s="3" t="s">
        <v>2300</v>
      </c>
      <c r="C5" s="3" t="s">
        <v>621</v>
      </c>
    </row>
    <row r="6" customFormat="false" ht="23.85" hidden="false" customHeight="false" outlineLevel="0" collapsed="false">
      <c r="A6" s="3" t="s">
        <v>631</v>
      </c>
      <c r="B6" s="3" t="s">
        <v>2301</v>
      </c>
      <c r="C6" s="3" t="s">
        <v>2302</v>
      </c>
    </row>
    <row r="7" customFormat="false" ht="23.85" hidden="false" customHeight="false" outlineLevel="0" collapsed="false">
      <c r="A7" s="3" t="s">
        <v>717</v>
      </c>
      <c r="B7" s="3" t="s">
        <v>2303</v>
      </c>
      <c r="C7" s="3" t="s">
        <v>2304</v>
      </c>
    </row>
    <row r="8" customFormat="false" ht="15" hidden="false" customHeight="false" outlineLevel="0" collapsed="false">
      <c r="A8" s="3" t="s">
        <v>746</v>
      </c>
      <c r="B8" s="3" t="s">
        <v>2305</v>
      </c>
      <c r="C8" s="3" t="s">
        <v>2306</v>
      </c>
    </row>
    <row r="9" customFormat="false" ht="15" hidden="false" customHeight="false" outlineLevel="0" collapsed="false">
      <c r="A9" s="3" t="s">
        <v>639</v>
      </c>
      <c r="B9" s="3" t="s">
        <v>2307</v>
      </c>
      <c r="C9" s="3" t="s">
        <v>621</v>
      </c>
    </row>
    <row r="10" customFormat="false" ht="23.85" hidden="false" customHeight="false" outlineLevel="0" collapsed="false">
      <c r="A10" s="3" t="s">
        <v>765</v>
      </c>
      <c r="B10" s="3" t="s">
        <v>2308</v>
      </c>
      <c r="C10" s="3" t="s">
        <v>2309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2026-09-16T04:24:09Z</dcterms:created>
  <dc:creator>openpyxl</dc:creator>
  <dc:description/>
  <dc:language>en-US</dc:language>
  <cp:lastModifiedBy/>
  <dcterms:modified xsi:type="dcterms:W3CDTF">2026-09-16T04:24:09Z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